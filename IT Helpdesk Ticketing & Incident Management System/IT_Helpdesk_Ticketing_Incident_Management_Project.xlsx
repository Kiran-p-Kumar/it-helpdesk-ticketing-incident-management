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dd2783f7bb41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c347a40f04d433c"/>
    <x:sheet xmlns:r="http://schemas.openxmlformats.org/officeDocument/2006/relationships" name="Tickets" sheetId="2" r:id="R5f63e9573a474455"/>
    <x:sheet xmlns:r="http://schemas.openxmlformats.org/officeDocument/2006/relationships" name="Dashboard" sheetId="3" r:id="R5c6d28d4cc6048af"/>
    <x:sheet xmlns:r="http://schemas.openxmlformats.org/officeDocument/2006/relationships" name="SLA_Rules" sheetId="4" r:id="R08d8dbd083cc4643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Sample incident dataset for an IT Helpdesk / service desk portfolio project.</x:t>
        </x:r>
      </x:text>
    </x:comment>
    <x:comment ref="O1" authorId="0">
      <x:text>
        <x:r>
          <x:t>SLA target is pulled from SLA_Rules using priority-based lookup.</x:t>
        </x:r>
      </x:text>
    </x:comment>
    <x:comment ref="P1" authorId="0">
      <x:text>
        <x:r>
          <x:t>Within_SLA is calculated from Resolution_Hours vs SLA_Target_Hours for resolved tickets.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dd-mmm-yyyy hh:mm"/>
    <x:numFmt numFmtId="165" formatCode="0.0"/>
    <x:numFmt numFmtId="166" formatCode="0.0%"/>
    <x:numFmt numFmtId="167" formatCode="dd-mmm"/>
  </x:numFmts>
  <x:fonts count="16">
    <x:font>
      <x:sz val="11"/>
      <x:color theme="1"/>
      <x:name val="Calibri"/>
      <x:family val="2"/>
      <x:scheme val="minor"/>
    </x:font>
    <x:font>
      <x:b/>
      <x:sz val="16"/>
      <x:color rgb="00FFFFFF"/>
      <x:name val="Calibri"/>
    </x:font>
    <x:font>
      <x:b/>
      <x:sz val="11"/>
      <x:color rgb="00FFFFFF"/>
      <x:name val="Calibri"/>
    </x:font>
    <x:font>
      <x:sz val="11"/>
      <x:color rgb="00000000"/>
      <x:name val="Calibri"/>
    </x:font>
    <x:font>
      <x:sz val="11"/>
      <x:color rgb="000000FF"/>
      <x:name val="Calibri"/>
    </x:font>
    <x:font>
      <x:b/>
      <x:sz val="14"/>
      <x:color rgb="00FFFFFF"/>
      <x:name val="Calibri"/>
    </x:font>
    <x:font>
      <x:b/>
      <x:sz val="18"/>
      <x:color rgb="00FFFFFF"/>
      <x:name val="Calibri"/>
    </x:font>
    <x:font>
      <x:b/>
      <x:sz val="11"/>
      <x:color rgb="00123B5D"/>
      <x:name val="Calibri"/>
    </x:font>
    <x:font>
      <x:b/>
      <x:sz val="18"/>
      <x:color rgb="00123B5D"/>
      <x:name val="Calibri"/>
    </x:font>
    <x:font>
      <x:b/>
      <x:sz val="12"/>
      <x:color rgb="00FFFFFF"/>
      <x:name val="Calibri"/>
    </x:font>
    <x:font>
      <x:b/>
      <x:sz val="11"/>
      <x:color rgb="00000000"/>
      <x:name val="Calibri"/>
    </x:font>
    <x:font>
      <x:sz val="11"/>
      <x:color rgb="00123B5D"/>
      <x:name val="Calibri"/>
    </x:font>
    <x:font>
      <x:b/>
      <x:sz val="20"/>
      <x:color rgb="00FFFFFF"/>
      <x:name val="Calibri"/>
    </x:font>
    <x:font>
      <x:b/>
      <x:sz val="12"/>
      <x:color rgb="00123B5D"/>
      <x:name val="Calibri"/>
    </x:font>
    <x:font>
      <x:b/>
      <x:sz val="16"/>
      <x:color rgb="00123B5D"/>
      <x:name val="Calibri"/>
    </x:font>
    <x:font>
      <x:b/>
      <x:sz val="10"/>
      <x:color rgb="00FFFFFF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00123B5D"/>
      </x:patternFill>
    </x:fill>
    <x:fill>
      <x:patternFill patternType="solid">
        <x:fgColor rgb="001F7A8C"/>
      </x:patternFill>
    </x:fill>
    <x:fill>
      <x:patternFill patternType="solid">
        <x:fgColor rgb="00F3F4F6"/>
      </x:patternFill>
    </x:fill>
    <x:fill>
      <x:patternFill patternType="solid">
        <x:fgColor rgb="00EAF2F8"/>
      </x:patternFill>
    </x:fill>
    <x:fill>
      <x:patternFill patternType="solid">
        <x:fgColor rgb="00DCEFF3"/>
      </x:patternFill>
    </x:fill>
    <x:fill>
      <x:patternFill patternType="solid">
        <x:fgColor rgb="00D9A300"/>
      </x:patternFill>
    </x:fill>
    <x:fill>
      <x:patternFill patternType="solid">
        <x:fgColor rgb="00F7E8B2"/>
      </x:patternFill>
    </x:fill>
  </x:fills>
  <x:borders count="13">
    <x:border>
      <x:left/>
      <x:right/>
      <x:top/>
      <x:bottom/>
      <x:diagonal/>
    </x:border>
    <x:border>
      <x:left style="thin">
        <x:color rgb="00D1D5DB"/>
      </x:left>
      <x:right style="thin">
        <x:color rgb="00D1D5DB"/>
      </x:right>
      <x:top style="thin">
        <x:color rgb="00D1D5DB"/>
      </x:top>
      <x:bottom style="thin">
        <x:color rgb="00D1D5DB"/>
      </x:bottom>
    </x:border>
    <x:border>
      <x:left/>
      <x:right/>
      <x:top style="thin">
        <x:color rgb="00D1D5DB"/>
      </x:top>
      <x:bottom/>
      <x:diagonal/>
    </x:border>
    <x:border>
      <x:left/>
      <x:right style="thin">
        <x:color rgb="00D1D5DB"/>
      </x:right>
      <x:top style="thin">
        <x:color rgb="00D1D5DB"/>
      </x:top>
      <x:bottom/>
      <x:diagonal/>
    </x:border>
    <x:border>
      <x:left/>
      <x:right style="thin">
        <x:color rgb="00D1D5DB"/>
      </x:right>
      <x:top style="thin">
        <x:color rgb="00D1D5DB"/>
      </x:top>
      <x:bottom style="thin">
        <x:color rgb="00D1D5DB"/>
      </x:bottom>
      <x:diagonal/>
    </x:border>
    <x:border>
      <x:left style="thin">
        <x:color rgb="00D1D5DB"/>
      </x:left>
      <x:right/>
      <x:top/>
      <x:bottom/>
      <x:diagonal/>
    </x:border>
    <x:border>
      <x:left/>
      <x:right style="thin">
        <x:color rgb="00D1D5DB"/>
      </x:right>
      <x:top/>
      <x:bottom/>
      <x:diagonal/>
    </x:border>
    <x:border>
      <x:left style="thin">
        <x:color rgb="00D1D5DB"/>
      </x:left>
      <x:right/>
      <x:top/>
      <x:bottom style="thin">
        <x:color rgb="00D1D5DB"/>
      </x:bottom>
      <x:diagonal/>
    </x:border>
    <x:border>
      <x:left/>
      <x:right/>
      <x:top/>
      <x:bottom style="thin">
        <x:color rgb="00D1D5DB"/>
      </x:bottom>
      <x:diagonal/>
    </x:border>
    <x:border>
      <x:left/>
      <x:right style="thin">
        <x:color rgb="00D1D5DB"/>
      </x:right>
      <x:top/>
      <x:bottom style="thin">
        <x:color rgb="00D1D5DB"/>
      </x:bottom>
      <x:diagonal/>
    </x:border>
    <x:border>
      <x:left/>
      <x:right/>
      <x:top style="thin">
        <x:color rgb="00D1D5DB"/>
      </x:top>
      <x:bottom style="thin">
        <x:color rgb="00D1D5DB"/>
      </x:bottom>
      <x:diagonal/>
    </x:border>
    <x:border>
      <x:left style="thin">
        <x:color rgb="00D1D5DB"/>
      </x:left>
      <x:right style="thin">
        <x:color rgb="00D1D5DB"/>
      </x:right>
      <x:top/>
      <x:bottom/>
      <x:diagonal/>
    </x:border>
    <x:border>
      <x:left style="thin">
        <x:color rgb="00D1D5DB"/>
      </x:left>
      <x:right style="thin">
        <x:color rgb="00D1D5DB"/>
      </x:right>
      <x:top/>
      <x:bottom style="thin">
        <x:color rgb="00D1D5DB"/>
      </x:bottom>
      <x:diagonal/>
    </x:border>
  </x:borders>
  <x:cellStyleXfs count="1">
    <x:xf numFmtId="0" fontId="0" fillId="0" borderId="0"/>
  </x:cellStyleXfs>
  <x:cellXfs count="81">
    <x:xf numFmtId="0" fontId="0" fillId="0" borderId="0" xfId="0"/>
    <x:xf numFmtId="0" fontId="12" fillId="2" borderId="0" xfId="0" applyAlignment="1">
      <x:alignment horizontal="center" vertical="center"/>
    </x:xf>
    <x:xf numFmtId="0" fontId="7" fillId="5" borderId="0" xfId="0" applyAlignment="1">
      <x:alignment horizontal="center" vertical="center"/>
    </x:xf>
    <x:xf numFmtId="0" fontId="9" fillId="2" borderId="0" xfId="0" applyAlignment="1">
      <x:alignment horizontal="center" vertical="center"/>
    </x:xf>
    <x:xf numFmtId="0" fontId="9" fillId="3" borderId="0" xfId="0" applyAlignment="1">
      <x:alignment horizontal="center" vertical="center"/>
    </x:xf>
    <x:xf numFmtId="0" fontId="3" fillId="0" borderId="0" xfId="0" applyAlignment="1">
      <x:alignment horizontal="left" vertical="center" wrapText="1"/>
    </x:xf>
    <x:xf numFmtId="0" fontId="13" fillId="6" borderId="0" xfId="0" applyAlignment="1">
      <x:alignment horizontal="center" vertical="center"/>
    </x:xf>
    <x:xf numFmtId="0" fontId="2" fillId="2" borderId="0" xfId="0" applyAlignment="1">
      <x:alignment horizontal="center" vertical="center"/>
    </x:xf>
    <x:xf numFmtId="0" fontId="3" fillId="0" borderId="0" xfId="0" applyAlignment="1">
      <x:alignment horizontal="left" vertical="center"/>
    </x:xf>
    <x:xf numFmtId="164" fontId="3" fillId="0" borderId="0" xfId="0" applyAlignment="1">
      <x:alignment horizontal="left" vertical="center"/>
    </x:xf>
    <x:xf numFmtId="0" fontId="4" fillId="0" borderId="0" xfId="0" applyAlignment="1">
      <x:alignment horizontal="center" vertical="center"/>
    </x:xf>
    <x:xf numFmtId="0" fontId="4" fillId="0" borderId="0" xfId="0" applyAlignment="1">
      <x:alignment horizontal="left" vertical="center"/>
    </x:xf>
    <x:xf numFmtId="0" fontId="3" fillId="0" borderId="0" xfId="0" applyAlignment="1">
      <x:alignment horizontal="center" vertical="center"/>
    </x:xf>
    <x:xf numFmtId="165" fontId="3" fillId="0" borderId="0" xfId="0" applyAlignment="1">
      <x:alignment horizontal="center" vertical="center"/>
    </x:xf>
    <x:xf numFmtId="0" fontId="6" fillId="2" borderId="0" xfId="0" applyAlignment="1">
      <x:alignment horizontal="center" vertical="center"/>
    </x:xf>
    <x:xf numFmtId="0" fontId="2" fillId="2" borderId="1" xfId="0" applyAlignment="1">
      <x:alignment horizontal="center" vertical="center"/>
    </x:xf>
    <x:xf numFmtId="0" fontId="0" fillId="0" borderId="1" xfId="0"/>
    <x:xf numFmtId="0" fontId="2" fillId="3" borderId="1" xfId="0" applyAlignment="1">
      <x:alignment horizontal="center" vertical="center"/>
    </x:xf>
    <x:xf numFmtId="0" fontId="2" fillId="7" borderId="1" xfId="0" applyAlignment="1">
      <x:alignment horizontal="center" vertical="center"/>
    </x:xf>
    <x:xf numFmtId="1" fontId="8" fillId="6" borderId="1" xfId="0" applyAlignment="1">
      <x:alignment horizontal="center" vertical="center"/>
    </x:xf>
    <x:xf numFmtId="166" fontId="8" fillId="6" borderId="1" xfId="0" applyAlignment="1">
      <x:alignment horizontal="center" vertical="center"/>
    </x:xf>
    <x:xf numFmtId="166" fontId="8" fillId="8" borderId="1" xfId="0" applyAlignment="1">
      <x:alignment horizontal="center" vertical="center"/>
    </x:xf>
    <x:xf numFmtId="165" fontId="8" fillId="6" borderId="1" xfId="0" applyAlignment="1">
      <x:alignment horizontal="center" vertical="center"/>
    </x:xf>
    <x:xf numFmtId="165" fontId="8" fillId="8" borderId="1" xfId="0" applyAlignment="1">
      <x:alignment horizontal="center" vertical="center"/>
    </x:xf>
    <x:xf numFmtId="0" fontId="10" fillId="4" borderId="1" xfId="0" applyAlignment="1">
      <x:alignment horizontal="center" vertical="center"/>
    </x:xf>
    <x:xf numFmtId="1" fontId="10" fillId="4" borderId="1" xfId="0" applyAlignment="1">
      <x:alignment horizontal="center" vertical="center"/>
    </x:xf>
    <x:xf numFmtId="166" fontId="10" fillId="4" borderId="1" xfId="0" applyAlignment="1">
      <x:alignment horizontal="center" vertical="center"/>
    </x:xf>
    <x:xf numFmtId="167" fontId="10" fillId="4" borderId="1" xfId="0" applyAlignment="1">
      <x:alignment horizontal="center" vertical="center"/>
    </x:xf>
    <x:xf numFmtId="0" fontId="3" fillId="0" borderId="1" xfId="0" applyAlignment="1">
      <x:alignment horizontal="left" vertical="center"/>
    </x:xf>
    <x:xf numFmtId="1" fontId="3" fillId="0" borderId="1" xfId="0" applyAlignment="1">
      <x:alignment horizontal="center" vertical="center"/>
    </x:xf>
    <x:xf numFmtId="166" fontId="3" fillId="0" borderId="1" xfId="0" applyAlignment="1">
      <x:alignment horizontal="center" vertical="center"/>
    </x:xf>
    <x:xf numFmtId="0" fontId="3" fillId="0" borderId="1" xfId="0" applyAlignment="1">
      <x:alignment horizontal="center" vertical="center"/>
    </x:xf>
    <x:xf numFmtId="167" fontId="3" fillId="0" borderId="1" xfId="0" applyAlignment="1">
      <x:alignment horizontal="center" vertical="center"/>
    </x:xf>
    <x:xf numFmtId="0" fontId="11" fillId="5" borderId="1" xfId="0" applyAlignment="1">
      <x:alignment horizontal="left" vertical="center" wrapText="1"/>
    </x:xf>
    <x:xf numFmtId="0" fontId="1" fillId="2" borderId="0" xfId="0" applyAlignment="1">
      <x:alignment horizontal="center" vertical="center"/>
    </x:xf>
    <x:xf numFmtId="0" fontId="4" fillId="0" borderId="1" xfId="0" applyAlignment="1">
      <x:alignment horizontal="center" vertical="center"/>
    </x:xf>
    <x:xf numFmtId="0" fontId="3" fillId="4" borderId="1" xfId="0" applyAlignment="1">
      <x:alignment horizontal="left" vertical="center" wrapText="1"/>
    </x:xf>
    <x:xf numFmtId="0" fontId="5" fillId="2" borderId="0" xfId="0" applyAlignment="1">
      <x:alignment horizontal="center" vertical="center"/>
    </x:xf>
    <x:xf numFmtId="0" fontId="3" fillId="0" borderId="1" xfId="0" applyAlignment="1">
      <x:alignment horizontal="left" vertical="center" wrapText="1"/>
    </x:xf>
    <x:xf numFmtId="0" fontId="2" fillId="2" borderId="1" xfId="0" applyAlignment="1">
      <x:alignment horizontal="center" vertical="center"/>
    </x:xf>
    <x:xf numFmtId="0" fontId="2" fillId="3" borderId="1" xfId="0" applyAlignment="1">
      <x:alignment horizontal="center" vertical="center"/>
    </x:xf>
    <x:xf numFmtId="1" fontId="14" fillId="6" borderId="1" xfId="0" applyAlignment="1">
      <x:alignment horizontal="center" vertical="center"/>
    </x:xf>
    <x:xf numFmtId="166" fontId="14" fillId="6" borderId="1" xfId="0" applyAlignment="1">
      <x:alignment horizontal="center" vertical="center"/>
    </x:xf>
    <x:xf numFmtId="165" fontId="14" fillId="6" borderId="1" xfId="0" applyAlignment="1">
      <x:alignment horizontal="center" vertical="center"/>
    </x:xf>
    <x:xf numFmtId="164" fontId="3" fillId="0" borderId="0" xfId="0" applyAlignment="1">
      <x:alignment horizontal="left" vertical="center"/>
    </x:xf>
    <x:xf numFmtId="165" fontId="3" fillId="0" borderId="0" xfId="0" applyAlignment="1">
      <x:alignment horizontal="center" vertical="center"/>
    </x:xf>
    <x:xf numFmtId="0" fontId="0" fillId="0" borderId="10" xfId="0"/>
    <x:xf numFmtId="0" fontId="0" fillId="0" borderId="4" xfId="0"/>
    <x:xf numFmtId="0" fontId="0" fillId="0" borderId="2" xfId="0"/>
    <x:xf numFmtId="0" fontId="0" fillId="0" borderId="3" xfId="0"/>
    <x:xf numFmtId="166" fontId="8" fillId="6" borderId="1" xfId="0" applyAlignment="1">
      <x:alignment horizontal="center" vertical="center"/>
    </x:xf>
    <x:xf numFmtId="166" fontId="8" fillId="8" borderId="1" xfId="0" applyAlignment="1">
      <x:alignment horizontal="center" vertical="center"/>
    </x:xf>
    <x:xf numFmtId="165" fontId="8" fillId="6" borderId="1" xfId="0" applyAlignment="1">
      <x:alignment horizontal="center" vertical="center"/>
    </x:xf>
    <x:xf numFmtId="165" fontId="8" fillId="8" borderId="1" xfId="0" applyAlignment="1">
      <x:alignment horizontal="center" vertical="center"/>
    </x:xf>
    <x:xf numFmtId="0" fontId="0" fillId="0" borderId="7" xfId="0"/>
    <x:xf numFmtId="0" fontId="0" fillId="0" borderId="8" xfId="0"/>
    <x:xf numFmtId="0" fontId="0" fillId="0" borderId="9" xfId="0"/>
    <x:xf numFmtId="166" fontId="10" fillId="4" borderId="1" xfId="0" applyAlignment="1">
      <x:alignment horizontal="center" vertical="center"/>
    </x:xf>
    <x:xf numFmtId="167" fontId="10" fillId="4" borderId="1" xfId="0" applyAlignment="1">
      <x:alignment horizontal="center" vertical="center"/>
    </x:xf>
    <x:xf numFmtId="166" fontId="3" fillId="0" borderId="1" xfId="0" applyAlignment="1">
      <x:alignment horizontal="center" vertical="center"/>
    </x:xf>
    <x:xf numFmtId="167" fontId="3" fillId="0" borderId="1" xfId="0" applyAlignment="1">
      <x:alignment horizontal="center" vertical="center"/>
    </x:xf>
    <x:xf numFmtId="0" fontId="0" fillId="0" borderId="5" xfId="0"/>
    <x:xf numFmtId="0" fontId="0" fillId="0" borderId="6" xfId="0"/>
    <x:xf numFmtId="0" fontId="6" fillId="2" borderId="1" xfId="0" applyAlignment="1">
      <x:alignment horizontal="center" vertical="center"/>
    </x:xf>
    <x:xf numFmtId="0" fontId="7" fillId="5" borderId="1" xfId="0" applyAlignment="1">
      <x:alignment horizontal="center" vertical="center"/>
    </x:xf>
    <x:xf numFmtId="0" fontId="2" fillId="2" borderId="1" xfId="0" applyAlignment="1">
      <x:alignment horizontal="center" vertical="center"/>
    </x:xf>
    <x:xf numFmtId="0" fontId="2" fillId="3" borderId="1" xfId="0" applyAlignment="1">
      <x:alignment horizontal="center" vertical="center"/>
    </x:xf>
    <x:xf numFmtId="0" fontId="2" fillId="7" borderId="1" xfId="0" applyAlignment="1">
      <x:alignment horizontal="center" vertical="center"/>
    </x:xf>
    <x:xf numFmtId="0" fontId="15" fillId="7" borderId="1" xfId="0" applyAlignment="1">
      <x:alignment horizontal="center" vertical="center"/>
    </x:xf>
    <x:xf numFmtId="1" fontId="8" fillId="6" borderId="1" xfId="0" applyAlignment="1">
      <x:alignment horizontal="center" vertical="center"/>
    </x:xf>
    <x:xf numFmtId="166" fontId="8" fillId="6" borderId="1" xfId="0" applyAlignment="1">
      <x:alignment horizontal="center" vertical="center"/>
    </x:xf>
    <x:xf numFmtId="166" fontId="8" fillId="8" borderId="1" xfId="0" applyAlignment="1">
      <x:alignment horizontal="center" vertical="center"/>
    </x:xf>
    <x:xf numFmtId="165" fontId="14" fillId="8" borderId="1" xfId="0" applyAlignment="1">
      <x:alignment horizontal="center" vertical="center"/>
    </x:xf>
    <x:xf numFmtId="165" fontId="8" fillId="6" borderId="1" xfId="0" applyAlignment="1">
      <x:alignment horizontal="center" vertical="center"/>
    </x:xf>
    <x:xf numFmtId="0" fontId="9" fillId="2" borderId="1" xfId="0" applyAlignment="1">
      <x:alignment horizontal="center" vertical="center"/>
    </x:xf>
    <x:xf numFmtId="0" fontId="10" fillId="4" borderId="1" xfId="0" applyAlignment="1">
      <x:alignment horizontal="center" vertical="center"/>
    </x:xf>
    <x:xf numFmtId="0" fontId="3" fillId="0" borderId="1" xfId="0" applyAlignment="1">
      <x:alignment horizontal="left" vertical="center"/>
    </x:xf>
    <x:xf numFmtId="0" fontId="3" fillId="0" borderId="1" xfId="0" applyAlignment="1">
      <x:alignment horizontal="center" vertical="center"/>
    </x:xf>
    <x:xf numFmtId="166" fontId="3" fillId="0" borderId="1" xfId="0" applyAlignment="1">
      <x:alignment horizontal="center" vertical="center"/>
    </x:xf>
    <x:xf numFmtId="167" fontId="3" fillId="0" borderId="1" xfId="0" applyAlignment="1">
      <x:alignment horizontal="center" vertical="center"/>
    </x:xf>
    <x:xf numFmtId="0" fontId="0" fillId="0" borderId="12" xfId="0"/>
  </x:cellXfs>
  <x:cellStyles count="1">
    <x:cellStyle name="Normal" xfId="0"/>
  </x:cellStyles>
  <x:dxfs count="3">
    <x:dxf>
      <x:fill>
        <x:patternFill>
          <x:bgColor rgb="00D9EAD3"/>
        </x:patternFill>
      </x:fill>
    </x:dxf>
    <x:dxf>
      <x:fill>
        <x:patternFill>
          <x:bgColor rgb="00F4CCCC"/>
        </x:patternFill>
      </x:fill>
    </x:dxf>
    <x:dxf>
      <x:fill>
        <x:patternFill>
          <x:bgColor rgb="00FCE5CD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7c553f42b4423c" /><Relationship Type="http://schemas.openxmlformats.org/officeDocument/2006/relationships/theme" Target="/xl/theme/theme1.xml" Id="R43e8e01782444c94" /><Relationship Type="http://schemas.openxmlformats.org/officeDocument/2006/relationships/sharedStrings" Target="/xl/sharedStrings.xml" Id="R433c7bde1da745dd" /><Relationship Type="http://schemas.openxmlformats.org/officeDocument/2006/relationships/worksheet" Target="/xl/worksheets/sheet1.xml" Id="Rfc347a40f04d433c" /><Relationship Type="http://schemas.openxmlformats.org/officeDocument/2006/relationships/worksheet" Target="/xl/worksheets/sheet2.xml" Id="R5f63e9573a474455" /><Relationship Type="http://schemas.openxmlformats.org/officeDocument/2006/relationships/worksheet" Target="/xl/worksheets/sheet3.xml" Id="R5c6d28d4cc6048af" /><Relationship Type="http://schemas.openxmlformats.org/officeDocument/2006/relationships/worksheet" Target="/xl/worksheets/sheet4.xml" Id="R08d8dbd083cc4643" /><Relationship Type="http://schemas.microsoft.com/office/2017/10/relationships/person" Target="/xl/persons/person.xml" Id="Rdcc53811800c43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da8f4d183145b0" /><Relationship Type="http://schemas.openxmlformats.org/officeDocument/2006/relationships/chart" Target="/xl/drawings/charts/chart2.xml" Id="Rac2e4af014ca4618" /><Relationship Type="http://schemas.openxmlformats.org/officeDocument/2006/relationships/chart" Target="/xl/drawings/charts/chart3.xml" Id="Rfd6d5152f6fa43f0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Tickets by Issue Type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bar"/>
        <c:grouping val="clustered"/>
        <c:ser>
          <c:idx val="0"/>
          <c:order val="0"/>
          <c:tx>
            <c:strRef>
              <c:f>'Dashboard'!B10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'Dashboard'!$A$11:$A$17</c:f>
              <c:strCache>
                <c:ptCount val="0"/>
              </c:strCache>
            </c:strRef>
          </c:cat>
          <c:val>
            <c:numRef>
              <c:f>'Dashboard'!$B$11:$B$17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Tickets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Issue Type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plotVisOnly val="1"/>
    <c:dispBlanksAs val="gap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Status Mix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'Dashboard'!F21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'Dashboard'!$E$22:$E$25</c:f>
              <c:strCache>
                <c:ptCount val="0"/>
              </c:strCache>
            </c:strRef>
          </c:cat>
          <c:val>
            <c:numRef>
              <c:f>'Dashboard'!$F$22:$F$25</c:f>
              <c:numCache>
                <c:formatCode>General</c:formatCode>
                <c:ptCount val="0"/>
              </c:numCache>
            </c:numRef>
          </c:val>
        </c:ser>
        <c:dLbls>
          <c:showPercent val="1"/>
        </c:dLbls>
        <c:firstSliceAng val="0"/>
        <c:holeSize val="10"/>
      </c:doughnutChart>
    </c:plotArea>
    <c:legend>
      <c:legendPos val="r"/>
    </c:legend>
    <c:plotVisOnly val="1"/>
    <c:dispBlanksAs val="gap"/>
  </c:chart>
</c:chartSpace>
</file>

<file path=xl/drawings/charts/chart3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Daily Opened vs Resolved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'Dashboard'!N21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'Dashboard'!$M$22:$M$52</c:f>
              <c:strCache>
                <c:ptCount val="0"/>
              </c:strCache>
            </c:strRef>
          </c:cat>
          <c:val>
            <c:numRef>
              <c:f>'Dashboard'!$N$22:$N$52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strRef>
              <c:f>'Dashboard'!O21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'Dashboard'!$M$22:$M$52</c:f>
              <c:strCache>
                <c:ptCount val="0"/>
              </c:strCache>
            </c:strRef>
          </c:cat>
          <c:val>
            <c:numRef>
              <c:f>'Dashboard'!$O$22:$O$52</c:f>
              <c:numCache>
                <c:formatCode/>
                <c:ptCount val="0"/>
              </c:numCache>
            </c:numRef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Date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Tickets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8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da8f4d183145b0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2e4af014ca4618"/>
        </a:graphicData>
      </a:graphic>
    </xdr:graphicFrame>
    <xdr:clientData/>
  </xdr:twoCellAnchor>
  <xdr:twoCellAnchor>
    <xdr:from>
      <xdr:col>13</xdr:col>
      <xdr:colOff>0</xdr:colOff>
      <xdr:row>8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6d5152f6fa43f0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31F95298-271B-92D1-8CA2-02344D082D4D}"/>
</xltc:personList>
</file>

<file path=xl/tables/table1.xml><?xml version="1.0" encoding="utf-8"?>
<x:table xmlns:x="http://schemas.openxmlformats.org/spreadsheetml/2006/main" id="1" name="TicketsTbl" displayName="TicketsTbl" ref="A1:U251" headerRowCount="1">
  <x:autoFilter ref="A1:U251"/>
  <x:tableColumns count="21">
    <x:tableColumn id="1" name="Ticket_ID"/>
    <x:tableColumn id="2" name="Opened_DateTime"/>
    <x:tableColumn id="3" name="Region"/>
    <x:tableColumn id="4" name="User_Name"/>
    <x:tableColumn id="5" name="Department"/>
    <x:tableColumn id="6" name="Channel"/>
    <x:tableColumn id="7" name="Issue_Type"/>
    <x:tableColumn id="8" name="Subcategory"/>
    <x:tableColumn id="9" name="Priority"/>
    <x:tableColumn id="10" name="Status"/>
    <x:tableColumn id="11" name="Assigned_Queue"/>
    <x:tableColumn id="12" name="Assigned_Agent"/>
    <x:tableColumn id="13" name="First_Response_Minutes"/>
    <x:tableColumn id="14" name="Resolution_Hours"/>
    <x:tableColumn id="15" name="SLA_Target_Hours"/>
    <x:tableColumn id="16" name="Within_SLA"/>
    <x:tableColumn id="17" name="Escalated"/>
    <x:tableColumn id="18" name="CSAT_Score"/>
    <x:tableColumn id="19" name="Root_Cause"/>
    <x:tableColumn id="20" name="Resolution_Notes"/>
    <x:tableColumn id="21" name="Closed_DateTim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8d358316e1bc418e" /><Relationship Type="http://schemas.openxmlformats.org/officeDocument/2006/relationships/vmlDrawing" Target="/xl/drawings/vmldrawing.vml" Id="Rc863281737004787" /><Relationship Type="http://schemas.openxmlformats.org/officeDocument/2006/relationships/table" Target="/xl/tables/table1.xml" Id="R9b22777681d343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0abdbf7b00ed42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</x:cols>
  <x:sheetData>
    <x:row r="1">
      <x:c r="A1" s="1" t="inlineStr">
        <x:is>
          <x:t xml:space="preserve">IT Helpdesk Ticketing &amp; Incident Management System</x:t>
        </x:is>
      </x:c>
    </x:row>
    <x:row r="2">
      <x:c r="A2" s="2" t="inlineStr">
        <x:is>
          <x:t xml:space="preserve">Portfolio project built for IT Support / Service Desk / Technical Support Analyst roles</x:t>
        </x:is>
      </x:c>
    </x:row>
    <x:row r="4">
      <x:c r="A4" s="3" t="inlineStr">
        <x:is>
          <x:t xml:space="preserve">Project Objective</x:t>
        </x:is>
      </x:c>
      <x:c r="E4" s="4" t="inlineStr">
        <x:is>
          <x:t xml:space="preserve">Tools &amp; Concepts Used</x:t>
        </x:is>
      </x:c>
    </x:row>
    <x:row r="5">
      <x:c r="A5" s="5" t="inlineStr">
        <x:is>
          <x:t xml:space="preserve">Built a realistic IT helpdesk incident tracker using a 250-ticket dataset. The workbook simulates a Level 1 support environment with ticket lifecycle fields, priority-based SLA rules, escalation tracking, first response time, resolution time, and customer satisfaction scoring.</x:t>
        </x:is>
      </x:c>
      <x:c r="E5" s="5" t="inlineStr">
        <x:is>
          <x:t xml:space="preserve">Excel features used:
• XLOOKUP for SLA logic
• COUNTIF / COUNTIFS / AVERAGEIF
• Conditional formatting for SLA flags
• Table formatting
• Bar, doughnut, and line charts
• Dashboard layout and KPI cards</x:t>
        </x:is>
      </x:c>
    </x:row>
    <x:row r="6"/>
    <x:row r="7"/>
    <x:row r="8"/>
    <x:row r="10">
      <x:c r="A10" s="3" t="inlineStr">
        <x:is>
          <x:t xml:space="preserve">What This Project Demonstrates</x:t>
        </x:is>
      </x:c>
      <x:c r="E10" s="4" t="inlineStr">
        <x:is>
          <x:t xml:space="preserve">Resume-Ready Summary</x:t>
        </x:is>
      </x:c>
    </x:row>
    <x:row r="11">
      <x:c r="A11" s="5" t="inlineStr">
        <x:is>
          <x:t xml:space="preserve">• Ticket logging and categorization
• Priority-based SLA management
• Incident status tracking
• Escalation identification
• KPI reporting and dashboarding
• Data validation and structured documentation</x:t>
        </x:is>
      </x:c>
      <x:c r="E11" s="5" t="inlineStr">
        <x:is>
          <x:t xml:space="preserve">Resume bullet example:
Built an IT Helpdesk Ticketing &amp; Incident Management dashboard in Excel using a 250-ticket simulated dataset. Tracked SLA compliance, escalation rate, first response time, resolution time, and CSAT through formulas, conditional formatting, and charts to mirror real service desk operations.</x:t>
        </x:is>
      </x:c>
    </x:row>
    <x:row r="12"/>
    <x:row r="13"/>
    <x:row r="14"/>
    <x:row r="15"/>
    <x:row r="16"/>
    <x:row r="19" ht="22" customHeight="1">
      <x:c r="A19" s="65" t="inlineStr">
        <x:is>
          <x:t xml:space="preserve">Tickets</x:t>
        </x:is>
      </x:c>
      <x:c r="B19" s="47" t="n"/>
      <x:c r="C19" s="66" t="inlineStr">
        <x:is>
          <x:t xml:space="preserve">Resolved %</x:t>
        </x:is>
      </x:c>
      <x:c r="D19" s="47" t="n"/>
      <x:c r="E19" s="65" t="inlineStr">
        <x:is>
          <x:t xml:space="preserve">SLA Compliance</x:t>
        </x:is>
      </x:c>
      <x:c r="F19" s="47" t="n"/>
      <x:c r="G19" s="66" t="inlineStr">
        <x:is>
          <x:t xml:space="preserve">Avg CSAT</x:t>
        </x:is>
      </x:c>
      <x:c r="H19" s="47" t="n"/>
    </x:row>
    <x:row r="20" ht="26" customHeight="1">
      <x:c r="A20" s="41">
        <x:f>Dashboard!A5</x:f>
        <x:v>250</x:v>
      </x:c>
      <x:c r="B20" s="49" t="n"/>
      <x:c r="C20" s="42">
        <x:f>Dashboard!D5</x:f>
        <x:v>0</x:v>
      </x:c>
      <x:c r="D20" s="49" t="n"/>
      <x:c r="E20" s="42">
        <x:f>Dashboard!J5</x:f>
        <x:v>0</x:v>
      </x:c>
      <x:c r="F20" s="49" t="n"/>
      <x:c r="G20" s="43">
        <x:f>Dashboard!P5</x:f>
        <x:v>4.414285714285715</x:v>
      </x:c>
      <x:c r="H20" s="49" t="n"/>
    </x:row>
    <x:row r="21" ht="26" customHeight="1">
      <x:c r="A21" s="54" t="n"/>
      <x:c r="B21" s="56" t="n"/>
      <x:c r="C21" s="54" t="n"/>
      <x:c r="D21" s="56" t="n"/>
      <x:c r="E21" s="54" t="n"/>
      <x:c r="F21" s="56" t="n"/>
      <x:c r="G21" s="54" t="n"/>
      <x:c r="H21" s="56" t="n"/>
    </x:row>
  </x:sheetData>
  <x:mergeCells>
    <x:mergeCell ref="A5:D8"/>
    <x:mergeCell ref="C20:D21"/>
    <x:mergeCell ref="A20:B21"/>
    <x:mergeCell ref="E20:F21"/>
    <x:mergeCell ref="A4:D4"/>
    <x:mergeCell ref="A2:H2"/>
    <x:mergeCell ref="E4:H4"/>
    <x:mergeCell ref="A19:B19"/>
    <x:mergeCell ref="C19:D19"/>
    <x:mergeCell ref="E19:F19"/>
    <x:mergeCell ref="G19:H19"/>
    <x:mergeCell ref="G20:H21"/>
    <x:mergeCell ref="A11:D16"/>
    <x:mergeCell ref="A1:H1"/>
    <x:mergeCell ref="E11:H16"/>
    <x:mergeCell ref="A10:D10"/>
    <x:mergeCell ref="E10:H10"/>
    <x:mergeCell ref="E5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0" customWidth="1"/>
    <x:col min="3" max="3" width="12" customWidth="1"/>
    <x:col min="4" max="4" width="12" customWidth="1"/>
    <x:col min="5" max="5" width="18" customWidth="1"/>
    <x:col min="6" max="6" width="12" customWidth="1"/>
    <x:col min="7" max="7" width="22" customWidth="1"/>
    <x:col min="8" max="8" width="24" customWidth="1"/>
    <x:col min="9" max="9" width="12" customWidth="1"/>
    <x:col min="10" max="10" width="14" customWidth="1"/>
    <x:col min="11" max="11" width="24" customWidth="1"/>
    <x:col min="12" max="12" width="14" customWidth="1"/>
    <x:col min="13" max="13" width="22" customWidth="1"/>
    <x:col min="14" max="14" width="18" customWidth="1"/>
    <x:col min="15" max="15" width="18" customWidth="1"/>
    <x:col min="16" max="16" width="12" customWidth="1"/>
    <x:col min="17" max="17" width="12" customWidth="1"/>
    <x:col min="18" max="18" width="12" customWidth="1"/>
    <x:col min="19" max="19" width="18" customWidth="1"/>
    <x:col min="20" max="20" width="52" customWidth="1"/>
    <x:col min="21" max="21" width="20" customWidth="1"/>
  </x:cols>
  <x:sheetData>
    <x:row r="1">
      <x:c r="A1" s="7" t="inlineStr">
        <x:is>
          <x:t xml:space="preserve">Ticket_ID</x:t>
        </x:is>
      </x:c>
      <x:c r="B1" s="7" t="inlineStr">
        <x:is>
          <x:t xml:space="preserve">Opened_DateTime</x:t>
        </x:is>
      </x:c>
      <x:c r="C1" s="7" t="inlineStr">
        <x:is>
          <x:t xml:space="preserve">Region</x:t>
        </x:is>
      </x:c>
      <x:c r="D1" s="7" t="inlineStr">
        <x:is>
          <x:t xml:space="preserve">User_Name</x:t>
        </x:is>
      </x:c>
      <x:c r="E1" s="7" t="inlineStr">
        <x:is>
          <x:t xml:space="preserve">Department</x:t>
        </x:is>
      </x:c>
      <x:c r="F1" s="7" t="inlineStr">
        <x:is>
          <x:t xml:space="preserve">Channel</x:t>
        </x:is>
      </x:c>
      <x:c r="G1" s="7" t="inlineStr">
        <x:is>
          <x:t xml:space="preserve">Issue_Type</x:t>
        </x:is>
      </x:c>
      <x:c r="H1" s="7" t="inlineStr">
        <x:is>
          <x:t xml:space="preserve">Subcategory</x:t>
        </x:is>
      </x:c>
      <x:c r="I1" s="7" t="inlineStr">
        <x:is>
          <x:t xml:space="preserve">Priority</x:t>
        </x:is>
      </x:c>
      <x:c r="J1" s="7" t="inlineStr">
        <x:is>
          <x:t xml:space="preserve">Status</x:t>
        </x:is>
      </x:c>
      <x:c r="K1" s="7" t="inlineStr">
        <x:is>
          <x:t xml:space="preserve">Assigned_Queue</x:t>
        </x:is>
      </x:c>
      <x:c r="L1" s="7" t="inlineStr">
        <x:is>
          <x:t xml:space="preserve">Assigned_Agent</x:t>
        </x:is>
      </x:c>
      <x:c r="M1" s="7" t="inlineStr">
        <x:is>
          <x:t xml:space="preserve">First_Response_Minutes</x:t>
        </x:is>
      </x:c>
      <x:c r="N1" s="7" t="inlineStr">
        <x:is>
          <x:t xml:space="preserve">Resolution_Hours</x:t>
        </x:is>
      </x:c>
      <x:c r="O1" s="7" t="inlineStr">
        <x:is>
          <x:t xml:space="preserve">SLA_Target_Hours</x:t>
        </x:is>
      </x:c>
      <x:c r="P1" s="7" t="inlineStr">
        <x:is>
          <x:t xml:space="preserve">Within_SLA</x:t>
        </x:is>
      </x:c>
      <x:c r="Q1" s="7" t="inlineStr">
        <x:is>
          <x:t xml:space="preserve">Escalated</x:t>
        </x:is>
      </x:c>
      <x:c r="R1" s="7" t="inlineStr">
        <x:is>
          <x:t xml:space="preserve">CSAT_Score</x:t>
        </x:is>
      </x:c>
      <x:c r="S1" s="7" t="inlineStr">
        <x:is>
          <x:t xml:space="preserve">Root_Cause</x:t>
        </x:is>
      </x:c>
      <x:c r="T1" s="7" t="inlineStr">
        <x:is>
          <x:t xml:space="preserve">Resolution_Notes</x:t>
        </x:is>
      </x:c>
      <x:c r="U1" s="7" t="inlineStr">
        <x:is>
          <x:t xml:space="preserve">Closed_DateTime</x:t>
        </x:is>
      </x:c>
    </x:row>
    <x:row r="2">
      <x:c r="A2" s="8" t="inlineStr">
        <x:is>
          <x:t xml:space="preserve">INC-202603-0001</x:t>
        </x:is>
      </x:c>
      <x:c r="B2" s="44" t="n">
        <x:v>46083.00347222222</x:v>
      </x:c>
      <x:c r="C2" s="10" t="inlineStr">
        <x:is>
          <x:t xml:space="preserve">India</x:t>
        </x:is>
      </x:c>
      <x:c r="D2" s="8" t="inlineStr">
        <x:is>
          <x:t xml:space="preserve">User 001</x:t>
        </x:is>
      </x:c>
      <x:c r="E2" s="11" t="inlineStr">
        <x:is>
          <x:t xml:space="preserve">Tax</x:t>
        </x:is>
      </x:c>
      <x:c r="F2" s="10" t="inlineStr">
        <x:is>
          <x:t xml:space="preserve">Phone</x:t>
        </x:is>
      </x:c>
      <x:c r="G2" s="11" t="inlineStr">
        <x:is>
          <x:t xml:space="preserve">Software &amp; Application</x:t>
        </x:is>
      </x:c>
      <x:c r="H2" s="11" t="inlineStr">
        <x:is>
          <x:t xml:space="preserve">App crash</x:t>
        </x:is>
      </x:c>
      <x:c r="I2" s="10" t="inlineStr">
        <x:is>
          <x:t xml:space="preserve">High</x:t>
        </x:is>
      </x:c>
      <x:c r="J2" s="10" t="inlineStr">
        <x:is>
          <x:t xml:space="preserve">Resolved</x:t>
        </x:is>
      </x:c>
      <x:c r="K2" s="11" t="inlineStr">
        <x:is>
          <x:t xml:space="preserve">L1 Network Support</x:t>
        </x:is>
      </x:c>
      <x:c r="L2" s="10" t="inlineStr">
        <x:is>
          <x:t xml:space="preserve">Agent D</x:t>
        </x:is>
      </x:c>
      <x:c r="M2" s="12" t="n">
        <x:v>7</x:v>
      </x:c>
      <x:c r="N2" s="45" t="n">
        <x:v>4.4</x:v>
      </x:c>
      <x:c r="O2" s="12">
        <x:f>XLOOKUP(I2,SLA_Rules!$A$4:$A$7,SLA_Rules!$B$4:$B$7,"")</x:f>
        <x:v>8</x:v>
      </x:c>
      <x:c r="P2" s="12" t="str">
        <x:f>IF(J2&lt;&gt;"Resolved","Pending",IF(N2&lt;=O2,"Yes","No"))</x:f>
        <x:v>Yes</x:v>
      </x:c>
      <x:c r="Q2" s="10" t="inlineStr">
        <x:is>
          <x:t xml:space="preserve">No</x:t>
        </x:is>
      </x:c>
      <x:c r="R2" s="12" t="n">
        <x:v>5</x:v>
      </x:c>
      <x:c r="S2" s="11" t="inlineStr">
        <x:is>
          <x:t xml:space="preserve">Driver problem</x:t>
        </x:is>
      </x:c>
      <x:c r="T2" s="5" t="inlineStr">
        <x:is>
          <x:t xml:space="preserve">Validated installation/configuration and completed application repair steps.</x:t>
        </x:is>
      </x:c>
      <x:c r="U2" s="44" t="n">
        <x:v>46083.18680555555</x:v>
      </x:c>
    </x:row>
    <x:row r="3">
      <x:c r="A3" s="8" t="inlineStr">
        <x:is>
          <x:t xml:space="preserve">INC-202603-0002</x:t>
        </x:is>
      </x:c>
      <x:c r="B3" s="44" t="n">
        <x:v>46090.17569444444</x:v>
      </x:c>
      <x:c r="C3" s="10" t="inlineStr">
        <x:is>
          <x:t xml:space="preserve">APAC</x:t>
        </x:is>
      </x:c>
      <x:c r="D3" s="8" t="inlineStr">
        <x:is>
          <x:t xml:space="preserve">User 002</x:t>
        </x:is>
      </x:c>
      <x:c r="E3" s="11" t="inlineStr">
        <x:is>
          <x:t xml:space="preserve">Consulting</x:t>
        </x:is>
      </x:c>
      <x:c r="F3" s="10" t="inlineStr">
        <x:is>
          <x:t xml:space="preserve">Chat</x:t>
        </x:is>
      </x:c>
      <x:c r="G3" s="11" t="inlineStr">
        <x:is>
          <x:t xml:space="preserve">Network &amp; VPN</x:t>
        </x:is>
      </x:c>
      <x:c r="H3" s="11" t="inlineStr">
        <x:is>
          <x:t xml:space="preserve">DNS error</x:t>
        </x:is>
      </x:c>
      <x:c r="I3" s="10" t="inlineStr">
        <x:is>
          <x:t xml:space="preserve">High</x:t>
        </x:is>
      </x:c>
      <x:c r="J3" s="10" t="inlineStr">
        <x:is>
          <x:t xml:space="preserve">Resolved</x:t>
        </x:is>
      </x:c>
      <x:c r="K3" s="11" t="inlineStr">
        <x:is>
          <x:t xml:space="preserve">L1 Endpoint Support</x:t>
        </x:is>
      </x:c>
      <x:c r="L3" s="10" t="inlineStr">
        <x:is>
          <x:t xml:space="preserve">Agent C</x:t>
        </x:is>
      </x:c>
      <x:c r="M3" s="12" t="n">
        <x:v>11</x:v>
      </x:c>
      <x:c r="N3" s="45" t="n">
        <x:v>9.6</x:v>
      </x:c>
      <x:c r="O3" s="12">
        <x:f>XLOOKUP(I3,SLA_Rules!$A$4:$A$7,SLA_Rules!$B$4:$B$7,"")</x:f>
        <x:v>8</x:v>
      </x:c>
      <x:c r="P3" s="12" t="str">
        <x:f>IF(J3&lt;&gt;"Resolved","Pending",IF(N3&lt;=O3,"Yes","No"))</x:f>
        <x:v>No</x:v>
      </x:c>
      <x:c r="Q3" s="10" t="inlineStr">
        <x:is>
          <x:t xml:space="preserve">Yes</x:t>
        </x:is>
      </x:c>
      <x:c r="R3" s="12" t="n">
        <x:v>4</x:v>
      </x:c>
      <x:c r="S3" s="11" t="inlineStr">
        <x:is>
          <x:t xml:space="preserve">Application cache</x:t>
        </x:is>
      </x:c>
      <x:c r="T3" s="5" t="inlineStr">
        <x:is>
          <x:t xml:space="preserve">Checked connectivity path, reconfigured VPN settings, and confirmed stable access.</x:t>
        </x:is>
      </x:c>
      <x:c r="U3" s="44" t="n">
        <x:v>46090.57569444444</x:v>
      </x:c>
    </x:row>
    <x:row r="4">
      <x:c r="A4" s="8" t="inlineStr">
        <x:is>
          <x:t xml:space="preserve">INC-202603-0003</x:t>
        </x:is>
      </x:c>
      <x:c r="B4" s="44" t="n">
        <x:v>46091.86041666667</x:v>
      </x:c>
      <x:c r="C4" s="10" t="inlineStr">
        <x:is>
          <x:t xml:space="preserve">US</x:t>
        </x:is>
      </x:c>
      <x:c r="D4" s="8" t="inlineStr">
        <x:is>
          <x:t xml:space="preserve">User 003</x:t>
        </x:is>
      </x:c>
      <x:c r="E4" s="11" t="inlineStr">
        <x:is>
          <x:t xml:space="preserve">HR</x:t>
        </x:is>
      </x:c>
      <x:c r="F4" s="10" t="inlineStr">
        <x:is>
          <x:t xml:space="preserve">Web Ticket</x:t>
        </x:is>
      </x:c>
      <x:c r="G4" s="11" t="inlineStr">
        <x:is>
          <x:t xml:space="preserve">Password Reset</x:t>
        </x:is>
      </x:c>
      <x:c r="H4" s="11" t="inlineStr">
        <x:is>
          <x:t xml:space="preserve">Unlock request</x:t>
        </x:is>
      </x:c>
      <x:c r="I4" s="10" t="inlineStr">
        <x:is>
          <x:t xml:space="preserve">Low</x:t>
        </x:is>
      </x:c>
      <x:c r="J4" s="10" t="inlineStr">
        <x:is>
          <x:t xml:space="preserve">Resolved</x:t>
        </x:is>
      </x:c>
      <x:c r="K4" s="11" t="inlineStr">
        <x:is>
          <x:t xml:space="preserve">L1 Global Service Desk</x:t>
        </x:is>
      </x:c>
      <x:c r="L4" s="10" t="inlineStr">
        <x:is>
          <x:t xml:space="preserve">Agent E</x:t>
        </x:is>
      </x:c>
      <x:c r="M4" s="12" t="n">
        <x:v>73</x:v>
      </x:c>
      <x:c r="N4" s="45" t="n">
        <x:v>28.8</x:v>
      </x:c>
      <x:c r="O4" s="12">
        <x:f>XLOOKUP(I4,SLA_Rules!$A$4:$A$7,SLA_Rules!$B$4:$B$7,"")</x:f>
        <x:v>24</x:v>
      </x:c>
      <x:c r="P4" s="12" t="str">
        <x:f>IF(J4&lt;&gt;"Resolved","Pending",IF(N4&lt;=O4,"Yes","No"))</x:f>
        <x:v>No</x:v>
      </x:c>
      <x:c r="Q4" s="10" t="inlineStr">
        <x:is>
          <x:t xml:space="preserve">Yes</x:t>
        </x:is>
      </x:c>
      <x:c r="R4" s="12" t="n">
        <x:v>4</x:v>
      </x:c>
      <x:c r="S4" s="11" t="inlineStr">
        <x:is>
          <x:t xml:space="preserve">User error</x:t>
        </x:is>
      </x:c>
      <x:c r="T4" s="5" t="inlineStr">
        <x:is>
          <x:t xml:space="preserve">Completed identity validation and processed password reset successfully.</x:t>
        </x:is>
      </x:c>
      <x:c r="U4" s="44" t="n">
        <x:v>46093.06041666667</x:v>
      </x:c>
    </x:row>
    <x:row r="5">
      <x:c r="A5" s="8" t="inlineStr">
        <x:is>
          <x:t xml:space="preserve">INC-202603-0004</x:t>
        </x:is>
      </x:c>
      <x:c r="B5" s="44" t="n">
        <x:v>46093.46736111111</x:v>
      </x:c>
      <x:c r="C5" s="10" t="inlineStr">
        <x:is>
          <x:t xml:space="preserve">APAC</x:t>
        </x:is>
      </x:c>
      <x:c r="D5" s="8" t="inlineStr">
        <x:is>
          <x:t xml:space="preserve">User 004</x:t>
        </x:is>
      </x:c>
      <x:c r="E5" s="11" t="inlineStr">
        <x:is>
          <x:t xml:space="preserve">Operations</x:t>
        </x:is>
      </x:c>
      <x:c r="F5" s="10" t="inlineStr">
        <x:is>
          <x:t xml:space="preserve">Email</x:t>
        </x:is>
      </x:c>
      <x:c r="G5" s="11" t="inlineStr">
        <x:is>
          <x:t xml:space="preserve">Software &amp; Application</x:t>
        </x:is>
      </x:c>
      <x:c r="H5" s="11" t="inlineStr">
        <x:is>
          <x:t xml:space="preserve">License activation</x:t>
        </x:is>
      </x:c>
      <x:c r="I5" s="10" t="inlineStr">
        <x:is>
          <x:t xml:space="preserve">Medium</x:t>
        </x:is>
      </x:c>
      <x:c r="J5" s="10" t="inlineStr">
        <x:is>
          <x:t xml:space="preserve">In Progress</x:t>
        </x:is>
      </x:c>
      <x:c r="K5" s="11" t="inlineStr">
        <x:is>
          <x:t xml:space="preserve">L1 Messaging Support</x:t>
        </x:is>
      </x:c>
      <x:c r="L5" s="10" t="inlineStr">
        <x:is>
          <x:t xml:space="preserve">Agent B</x:t>
        </x:is>
      </x:c>
      <x:c r="M5" s="12" t="n">
        <x:v>52</x:v>
      </x:c>
      <x:c r="N5" s="12" t="n"/>
      <x:c r="O5" s="12">
        <x:f>XLOOKUP(I5,SLA_Rules!$A$4:$A$7,SLA_Rules!$B$4:$B$7,"")</x:f>
        <x:v>16</x:v>
      </x:c>
      <x:c r="P5" s="12" t="str">
        <x:f>IF(J5&lt;&gt;"Resolved","Pending",IF(N5&lt;=O5,"Yes","No"))</x:f>
        <x:v>Pending</x:v>
      </x:c>
      <x:c r="Q5" s="10" t="inlineStr">
        <x:is>
          <x:t xml:space="preserve">No</x:t>
        </x:is>
      </x:c>
      <x:c r="R5" s="12" t="n"/>
      <x:c r="S5" s="11" t="inlineStr">
        <x:is>
          <x:t xml:space="preserve">Credential issue</x:t>
        </x:is>
      </x:c>
      <x:c r="T5" s="5" t="inlineStr">
        <x:is>
          <x:t xml:space="preserve">Validated installation/configuration and completed application repair steps.</x:t>
        </x:is>
      </x:c>
      <x:c r="U5" s="8" t="n"/>
    </x:row>
    <x:row r="6">
      <x:c r="A6" s="8" t="inlineStr">
        <x:is>
          <x:t xml:space="preserve">INC-202603-0005</x:t>
        </x:is>
      </x:c>
      <x:c r="B6" s="44" t="n">
        <x:v>46106.05138888889</x:v>
      </x:c>
      <x:c r="C6" s="10" t="inlineStr">
        <x:is>
          <x:t xml:space="preserve">India</x:t>
        </x:is>
      </x:c>
      <x:c r="D6" s="8" t="inlineStr">
        <x:is>
          <x:t xml:space="preserve">User 005</x:t>
        </x:is>
      </x:c>
      <x:c r="E6" s="11" t="inlineStr">
        <x:is>
          <x:t xml:space="preserve">Risk Advisory</x:t>
        </x:is>
      </x:c>
      <x:c r="F6" s="10" t="inlineStr">
        <x:is>
          <x:t xml:space="preserve">Phone</x:t>
        </x:is>
      </x:c>
      <x:c r="G6" s="11" t="inlineStr">
        <x:is>
          <x:t xml:space="preserve">Software &amp; Application</x:t>
        </x:is>
      </x:c>
      <x:c r="H6" s="11" t="inlineStr">
        <x:is>
          <x:t xml:space="preserve">Install failed</x:t>
        </x:is>
      </x:c>
      <x:c r="I6" s="10" t="inlineStr">
        <x:is>
          <x:t xml:space="preserve">Low</x:t>
        </x:is>
      </x:c>
      <x:c r="J6" s="10" t="inlineStr">
        <x:is>
          <x:t xml:space="preserve">Resolved</x:t>
        </x:is>
      </x:c>
      <x:c r="K6" s="11" t="inlineStr">
        <x:is>
          <x:t xml:space="preserve">L1 Messaging Support</x:t>
        </x:is>
      </x:c>
      <x:c r="L6" s="10" t="inlineStr">
        <x:is>
          <x:t xml:space="preserve">Agent G</x:t>
        </x:is>
      </x:c>
      <x:c r="M6" s="12" t="n">
        <x:v>126</x:v>
      </x:c>
      <x:c r="N6" s="45" t="n">
        <x:v>19.1</x:v>
      </x:c>
      <x:c r="O6" s="12">
        <x:f>XLOOKUP(I6,SLA_Rules!$A$4:$A$7,SLA_Rules!$B$4:$B$7,"")</x:f>
        <x:v>24</x:v>
      </x:c>
      <x:c r="P6" s="12" t="str">
        <x:f>IF(J6&lt;&gt;"Resolved","Pending",IF(N6&lt;=O6,"Yes","No"))</x:f>
        <x:v>Yes</x:v>
      </x:c>
      <x:c r="Q6" s="10" t="inlineStr">
        <x:is>
          <x:t xml:space="preserve">No</x:t>
        </x:is>
      </x:c>
      <x:c r="R6" s="12" t="n">
        <x:v>4</x:v>
      </x:c>
      <x:c r="S6" s="11" t="inlineStr">
        <x:is>
          <x:t xml:space="preserve">Network instability</x:t>
        </x:is>
      </x:c>
      <x:c r="T6" s="5" t="inlineStr">
        <x:is>
          <x:t xml:space="preserve">Validated installation/configuration and completed application repair steps.</x:t>
        </x:is>
      </x:c>
      <x:c r="U6" s="44" t="n">
        <x:v>46106.84722222222</x:v>
      </x:c>
    </x:row>
    <x:row r="7">
      <x:c r="A7" s="8" t="inlineStr">
        <x:is>
          <x:t xml:space="preserve">INC-202603-0006</x:t>
        </x:is>
      </x:c>
      <x:c r="B7" s="44" t="n">
        <x:v>46086.32430555556</x:v>
      </x:c>
      <x:c r="C7" s="10" t="inlineStr">
        <x:is>
          <x:t xml:space="preserve">US</x:t>
        </x:is>
      </x:c>
      <x:c r="D7" s="8" t="inlineStr">
        <x:is>
          <x:t xml:space="preserve">User 006</x:t>
        </x:is>
      </x:c>
      <x:c r="E7" s="11" t="inlineStr">
        <x:is>
          <x:t xml:space="preserve">Operations</x:t>
        </x:is>
      </x:c>
      <x:c r="F7" s="10" t="inlineStr">
        <x:is>
          <x:t xml:space="preserve">Web Ticket</x:t>
        </x:is>
      </x:c>
      <x:c r="G7" s="11" t="inlineStr">
        <x:is>
          <x:t xml:space="preserve">Password Reset</x:t>
        </x:is>
      </x:c>
      <x:c r="H7" s="11" t="inlineStr">
        <x:is>
          <x:t xml:space="preserve">Unlock request</x:t>
        </x:is>
      </x:c>
      <x:c r="I7" s="10" t="inlineStr">
        <x:is>
          <x:t xml:space="preserve">Low</x:t>
        </x:is>
      </x:c>
      <x:c r="J7" s="10" t="inlineStr">
        <x:is>
          <x:t xml:space="preserve">Resolved</x:t>
        </x:is>
      </x:c>
      <x:c r="K7" s="11" t="inlineStr">
        <x:is>
          <x:t xml:space="preserve">L1 Global Service Desk</x:t>
        </x:is>
      </x:c>
      <x:c r="L7" s="10" t="inlineStr">
        <x:is>
          <x:t xml:space="preserve">Agent C</x:t>
        </x:is>
      </x:c>
      <x:c r="M7" s="12" t="n">
        <x:v>133</x:v>
      </x:c>
      <x:c r="N7" s="45" t="n">
        <x:v>8.6</x:v>
      </x:c>
      <x:c r="O7" s="12">
        <x:f>XLOOKUP(I7,SLA_Rules!$A$4:$A$7,SLA_Rules!$B$4:$B$7,"")</x:f>
        <x:v>24</x:v>
      </x:c>
      <x:c r="P7" s="12" t="str">
        <x:f>IF(J7&lt;&gt;"Resolved","Pending",IF(N7&lt;=O7,"Yes","No"))</x:f>
        <x:v>Yes</x:v>
      </x:c>
      <x:c r="Q7" s="10" t="inlineStr">
        <x:is>
          <x:t xml:space="preserve">No</x:t>
        </x:is>
      </x:c>
      <x:c r="R7" s="12" t="n">
        <x:v>5</x:v>
      </x:c>
      <x:c r="S7" s="11" t="inlineStr">
        <x:is>
          <x:t xml:space="preserve">Pending update</x:t>
        </x:is>
      </x:c>
      <x:c r="T7" s="5" t="inlineStr">
        <x:is>
          <x:t xml:space="preserve">Completed identity validation and processed password reset successfully.</x:t>
        </x:is>
      </x:c>
      <x:c r="U7" s="44" t="n">
        <x:v>46086.68263888889</x:v>
      </x:c>
    </x:row>
    <x:row r="8">
      <x:c r="A8" s="8" t="inlineStr">
        <x:is>
          <x:t xml:space="preserve">INC-202603-0007</x:t>
        </x:is>
      </x:c>
      <x:c r="B8" s="44" t="n">
        <x:v>46103.56805555556</x:v>
      </x:c>
      <x:c r="C8" s="10" t="inlineStr">
        <x:is>
          <x:t xml:space="preserve">UK</x:t>
        </x:is>
      </x:c>
      <x:c r="D8" s="8" t="inlineStr">
        <x:is>
          <x:t xml:space="preserve">User 007</x:t>
        </x:is>
      </x:c>
      <x:c r="E8" s="11" t="inlineStr">
        <x:is>
          <x:t xml:space="preserve">Consulting</x:t>
        </x:is>
      </x:c>
      <x:c r="F8" s="10" t="inlineStr">
        <x:is>
          <x:t xml:space="preserve">Web Ticket</x:t>
        </x:is>
      </x:c>
      <x:c r="G8" s="11" t="inlineStr">
        <x:is>
          <x:t xml:space="preserve">Email &amp; Outlook</x:t>
        </x:is>
      </x:c>
      <x:c r="H8" s="11" t="inlineStr">
        <x:is>
          <x:t xml:space="preserve">Mailbox sync delay</x:t>
        </x:is>
      </x:c>
      <x:c r="I8" s="10" t="inlineStr">
        <x:is>
          <x:t xml:space="preserve">Low</x:t>
        </x:is>
      </x:c>
      <x:c r="J8" s="10" t="inlineStr">
        <x:is>
          <x:t xml:space="preserve">Resolved</x:t>
        </x:is>
      </x:c>
      <x:c r="K8" s="11" t="inlineStr">
        <x:is>
          <x:t xml:space="preserve">L1 Identity Support</x:t>
        </x:is>
      </x:c>
      <x:c r="L8" s="10" t="inlineStr">
        <x:is>
          <x:t xml:space="preserve">Agent G</x:t>
        </x:is>
      </x:c>
      <x:c r="M8" s="12" t="n">
        <x:v>143</x:v>
      </x:c>
      <x:c r="N8" s="45" t="n">
        <x:v>10.9</x:v>
      </x:c>
      <x:c r="O8" s="12">
        <x:f>XLOOKUP(I8,SLA_Rules!$A$4:$A$7,SLA_Rules!$B$4:$B$7,"")</x:f>
        <x:v>24</x:v>
      </x:c>
      <x:c r="P8" s="12" t="str">
        <x:f>IF(J8&lt;&gt;"Resolved","Pending",IF(N8&lt;=O8,"Yes","No"))</x:f>
        <x:v>Yes</x:v>
      </x:c>
      <x:c r="Q8" s="10" t="inlineStr">
        <x:is>
          <x:t xml:space="preserve">No</x:t>
        </x:is>
      </x:c>
      <x:c r="R8" s="12" t="n">
        <x:v>5</x:v>
      </x:c>
      <x:c r="S8" s="11" t="inlineStr">
        <x:is>
          <x:t xml:space="preserve">Driver problem</x:t>
        </x:is>
      </x:c>
      <x:c r="T8" s="5" t="inlineStr">
        <x:is>
          <x:t xml:space="preserve">Cleared profile/cache and validated mailbox connectivity with user.</x:t>
        </x:is>
      </x:c>
      <x:c r="U8" s="44" t="n">
        <x:v>46104.02222222222</x:v>
      </x:c>
    </x:row>
    <x:row r="9">
      <x:c r="A9" s="8" t="inlineStr">
        <x:is>
          <x:t xml:space="preserve">INC-202603-0008</x:t>
        </x:is>
      </x:c>
      <x:c r="B9" s="44" t="n">
        <x:v>46095.22847222222</x:v>
      </x:c>
      <x:c r="C9" s="10" t="inlineStr">
        <x:is>
          <x:t xml:space="preserve">US</x:t>
        </x:is>
      </x:c>
      <x:c r="D9" s="8" t="inlineStr">
        <x:is>
          <x:t xml:space="preserve">User 008</x:t>
        </x:is>
      </x:c>
      <x:c r="E9" s="11" t="inlineStr">
        <x:is>
          <x:t xml:space="preserve">Finance</x:t>
        </x:is>
      </x:c>
      <x:c r="F9" s="10" t="inlineStr">
        <x:is>
          <x:t xml:space="preserve">Phone</x:t>
        </x:is>
      </x:c>
      <x:c r="G9" s="11" t="inlineStr">
        <x:is>
          <x:t xml:space="preserve">Password Reset</x:t>
        </x:is>
      </x:c>
      <x:c r="H9" s="11" t="inlineStr">
        <x:is>
          <x:t xml:space="preserve">Password expired</x:t>
        </x:is>
      </x:c>
      <x:c r="I9" s="10" t="inlineStr">
        <x:is>
          <x:t xml:space="preserve">Low</x:t>
        </x:is>
      </x:c>
      <x:c r="J9" s="10" t="inlineStr">
        <x:is>
          <x:t xml:space="preserve">Resolved</x:t>
        </x:is>
      </x:c>
      <x:c r="K9" s="11" t="inlineStr">
        <x:is>
          <x:t xml:space="preserve">L1 Global Service Desk</x:t>
        </x:is>
      </x:c>
      <x:c r="L9" s="10" t="inlineStr">
        <x:is>
          <x:t xml:space="preserve">Agent C</x:t>
        </x:is>
      </x:c>
      <x:c r="M9" s="12" t="n">
        <x:v>91</x:v>
      </x:c>
      <x:c r="N9" s="45" t="n">
        <x:v>17.5</x:v>
      </x:c>
      <x:c r="O9" s="12">
        <x:f>XLOOKUP(I9,SLA_Rules!$A$4:$A$7,SLA_Rules!$B$4:$B$7,"")</x:f>
        <x:v>24</x:v>
      </x:c>
      <x:c r="P9" s="12" t="str">
        <x:f>IF(J9&lt;&gt;"Resolved","Pending",IF(N9&lt;=O9,"Yes","No"))</x:f>
        <x:v>Yes</x:v>
      </x:c>
      <x:c r="Q9" s="10" t="inlineStr">
        <x:is>
          <x:t xml:space="preserve">No</x:t>
        </x:is>
      </x:c>
      <x:c r="R9" s="12" t="n">
        <x:v>5</x:v>
      </x:c>
      <x:c r="S9" s="11" t="inlineStr">
        <x:is>
          <x:t xml:space="preserve">Configuration drift</x:t>
        </x:is>
      </x:c>
      <x:c r="T9" s="5" t="inlineStr">
        <x:is>
          <x:t xml:space="preserve">Completed identity validation and processed password reset successfully.</x:t>
        </x:is>
      </x:c>
      <x:c r="U9" s="44" t="n">
        <x:v>46095.95763888889</x:v>
      </x:c>
    </x:row>
    <x:row r="10">
      <x:c r="A10" s="8" t="inlineStr">
        <x:is>
          <x:t xml:space="preserve">INC-202603-0009</x:t>
        </x:is>
      </x:c>
      <x:c r="B10" s="44" t="n">
        <x:v>46112.70694444444</x:v>
      </x:c>
      <x:c r="C10" s="10" t="inlineStr">
        <x:is>
          <x:t xml:space="preserve">US</x:t>
        </x:is>
      </x:c>
      <x:c r="D10" s="8" t="inlineStr">
        <x:is>
          <x:t xml:space="preserve">User 009</x:t>
        </x:is>
      </x:c>
      <x:c r="E10" s="11" t="inlineStr">
        <x:is>
          <x:t xml:space="preserve">Finance</x:t>
        </x:is>
      </x:c>
      <x:c r="F10" s="10" t="inlineStr">
        <x:is>
          <x:t xml:space="preserve">Phone</x:t>
        </x:is>
      </x:c>
      <x:c r="G10" s="11" t="inlineStr">
        <x:is>
          <x:t xml:space="preserve">Network &amp; VPN</x:t>
        </x:is>
      </x:c>
      <x:c r="H10" s="11" t="inlineStr">
        <x:is>
          <x:t xml:space="preserve">VPN not connecting</x:t>
        </x:is>
      </x:c>
      <x:c r="I10" s="10" t="inlineStr">
        <x:is>
          <x:t xml:space="preserve">Critical</x:t>
        </x:is>
      </x:c>
      <x:c r="J10" s="10" t="inlineStr">
        <x:is>
          <x:t xml:space="preserve">In Progress</x:t>
        </x:is>
      </x:c>
      <x:c r="K10" s="11" t="inlineStr">
        <x:is>
          <x:t xml:space="preserve">L1 Identity Support</x:t>
        </x:is>
      </x:c>
      <x:c r="L10" s="10" t="inlineStr">
        <x:is>
          <x:t xml:space="preserve">Agent E</x:t>
        </x:is>
      </x:c>
      <x:c r="M10" s="12" t="n">
        <x:v>4</x:v>
      </x:c>
      <x:c r="N10" s="12" t="n"/>
      <x:c r="O10" s="12">
        <x:f>XLOOKUP(I10,SLA_Rules!$A$4:$A$7,SLA_Rules!$B$4:$B$7,"")</x:f>
        <x:v>4</x:v>
      </x:c>
      <x:c r="P10" s="12" t="str">
        <x:f>IF(J10&lt;&gt;"Resolved","Pending",IF(N10&lt;=O10,"Yes","No"))</x:f>
        <x:v>Pending</x:v>
      </x:c>
      <x:c r="Q10" s="10" t="inlineStr">
        <x:is>
          <x:t xml:space="preserve">No</x:t>
        </x:is>
      </x:c>
      <x:c r="R10" s="12" t="n"/>
      <x:c r="S10" s="11" t="inlineStr">
        <x:is>
          <x:t xml:space="preserve">Credential issue</x:t>
        </x:is>
      </x:c>
      <x:c r="T10" s="5" t="inlineStr">
        <x:is>
          <x:t xml:space="preserve">Checked connectivity path, reconfigured VPN settings, and confirmed stable access.</x:t>
        </x:is>
      </x:c>
      <x:c r="U10" s="8" t="n"/>
    </x:row>
    <x:row r="11">
      <x:c r="A11" s="8" t="inlineStr">
        <x:is>
          <x:t xml:space="preserve">INC-202603-0010</x:t>
        </x:is>
      </x:c>
      <x:c r="B11" s="44" t="n">
        <x:v>46084.74236111111</x:v>
      </x:c>
      <x:c r="C11" s="10" t="inlineStr">
        <x:is>
          <x:t xml:space="preserve">APAC</x:t>
        </x:is>
      </x:c>
      <x:c r="D11" s="8" t="inlineStr">
        <x:is>
          <x:t xml:space="preserve">User 010</x:t>
        </x:is>
      </x:c>
      <x:c r="E11" s="11" t="inlineStr">
        <x:is>
          <x:t xml:space="preserve">Tax</x:t>
        </x:is>
      </x:c>
      <x:c r="F11" s="10" t="inlineStr">
        <x:is>
          <x:t xml:space="preserve">Web Ticket</x:t>
        </x:is>
      </x:c>
      <x:c r="G11" s="11" t="inlineStr">
        <x:is>
          <x:t xml:space="preserve">Password Reset</x:t>
        </x:is>
      </x:c>
      <x:c r="H11" s="11" t="inlineStr">
        <x:is>
          <x:t xml:space="preserve">Unlock request</x:t>
        </x:is>
      </x:c>
      <x:c r="I11" s="10" t="inlineStr">
        <x:is>
          <x:t xml:space="preserve">Low</x:t>
        </x:is>
      </x:c>
      <x:c r="J11" s="10" t="inlineStr">
        <x:is>
          <x:t xml:space="preserve">Resolved</x:t>
        </x:is>
      </x:c>
      <x:c r="K11" s="11" t="inlineStr">
        <x:is>
          <x:t xml:space="preserve">L1 Identity Support</x:t>
        </x:is>
      </x:c>
      <x:c r="L11" s="10" t="inlineStr">
        <x:is>
          <x:t xml:space="preserve">Agent G</x:t>
        </x:is>
      </x:c>
      <x:c r="M11" s="12" t="n">
        <x:v>66</x:v>
      </x:c>
      <x:c r="N11" s="45" t="n">
        <x:v>16.3</x:v>
      </x:c>
      <x:c r="O11" s="12">
        <x:f>XLOOKUP(I11,SLA_Rules!$A$4:$A$7,SLA_Rules!$B$4:$B$7,"")</x:f>
        <x:v>24</x:v>
      </x:c>
      <x:c r="P11" s="12" t="str">
        <x:f>IF(J11&lt;&gt;"Resolved","Pending",IF(N11&lt;=O11,"Yes","No"))</x:f>
        <x:v>Yes</x:v>
      </x:c>
      <x:c r="Q11" s="10" t="inlineStr">
        <x:is>
          <x:t xml:space="preserve">No</x:t>
        </x:is>
      </x:c>
      <x:c r="R11" s="12" t="n">
        <x:v>4</x:v>
      </x:c>
      <x:c r="S11" s="11" t="inlineStr">
        <x:is>
          <x:t xml:space="preserve">Policy enforcement</x:t>
        </x:is>
      </x:c>
      <x:c r="T11" s="5" t="inlineStr">
        <x:is>
          <x:t xml:space="preserve">Completed identity validation and processed password reset successfully.</x:t>
        </x:is>
      </x:c>
      <x:c r="U11" s="44" t="n">
        <x:v>46085.42152777778</x:v>
      </x:c>
    </x:row>
    <x:row r="12">
      <x:c r="A12" s="8" t="inlineStr">
        <x:is>
          <x:t xml:space="preserve">INC-202603-0011</x:t>
        </x:is>
      </x:c>
      <x:c r="B12" s="44" t="n">
        <x:v>46110.68611111111</x:v>
      </x:c>
      <x:c r="C12" s="10" t="inlineStr">
        <x:is>
          <x:t xml:space="preserve">UK</x:t>
        </x:is>
      </x:c>
      <x:c r="D12" s="8" t="inlineStr">
        <x:is>
          <x:t xml:space="preserve">User 011</x:t>
        </x:is>
      </x:c>
      <x:c r="E12" s="11" t="inlineStr">
        <x:is>
          <x:t xml:space="preserve">HR</x:t>
        </x:is>
      </x:c>
      <x:c r="F12" s="10" t="inlineStr">
        <x:is>
          <x:t xml:space="preserve">Chat</x:t>
        </x:is>
      </x:c>
      <x:c r="G12" s="11" t="inlineStr">
        <x:is>
          <x:t xml:space="preserve">Network &amp; VPN</x:t>
        </x:is>
      </x:c>
      <x:c r="H12" s="11" t="inlineStr">
        <x:is>
          <x:t xml:space="preserve">Wi-Fi unstable</x:t>
        </x:is>
      </x:c>
      <x:c r="I12" s="10" t="inlineStr">
        <x:is>
          <x:t xml:space="preserve">High</x:t>
        </x:is>
      </x:c>
      <x:c r="J12" s="10" t="inlineStr">
        <x:is>
          <x:t xml:space="preserve">Resolved</x:t>
        </x:is>
      </x:c>
      <x:c r="K12" s="11" t="inlineStr">
        <x:is>
          <x:t xml:space="preserve">L1 Messaging Support</x:t>
        </x:is>
      </x:c>
      <x:c r="L12" s="10" t="inlineStr">
        <x:is>
          <x:t xml:space="preserve">Agent D</x:t>
        </x:is>
      </x:c>
      <x:c r="M12" s="12" t="n">
        <x:v>27</x:v>
      </x:c>
      <x:c r="N12" s="45" t="n">
        <x:v>2.6</x:v>
      </x:c>
      <x:c r="O12" s="12">
        <x:f>XLOOKUP(I12,SLA_Rules!$A$4:$A$7,SLA_Rules!$B$4:$B$7,"")</x:f>
        <x:v>8</x:v>
      </x:c>
      <x:c r="P12" s="12" t="str">
        <x:f>IF(J12&lt;&gt;"Resolved","Pending",IF(N12&lt;=O12,"Yes","No"))</x:f>
        <x:v>Yes</x:v>
      </x:c>
      <x:c r="Q12" s="10" t="inlineStr">
        <x:is>
          <x:t xml:space="preserve">No</x:t>
        </x:is>
      </x:c>
      <x:c r="R12" s="12" t="n">
        <x:v>3</x:v>
      </x:c>
      <x:c r="S12" s="11" t="inlineStr">
        <x:is>
          <x:t xml:space="preserve">Policy enforcement</x:t>
        </x:is>
      </x:c>
      <x:c r="T12" s="5" t="inlineStr">
        <x:is>
          <x:t xml:space="preserve">Checked connectivity path, reconfigured VPN settings, and confirmed stable access.</x:t>
        </x:is>
      </x:c>
      <x:c r="U12" s="44" t="n">
        <x:v>46110.79444444444</x:v>
      </x:c>
    </x:row>
    <x:row r="13">
      <x:c r="A13" s="8" t="inlineStr">
        <x:is>
          <x:t xml:space="preserve">INC-202603-0012</x:t>
        </x:is>
      </x:c>
      <x:c r="B13" s="44" t="n">
        <x:v>46090.89652777778</x:v>
      </x:c>
      <x:c r="C13" s="10" t="inlineStr">
        <x:is>
          <x:t xml:space="preserve">APAC</x:t>
        </x:is>
      </x:c>
      <x:c r="D13" s="8" t="inlineStr">
        <x:is>
          <x:t xml:space="preserve">User 012</x:t>
        </x:is>
      </x:c>
      <x:c r="E13" s="11" t="inlineStr">
        <x:is>
          <x:t xml:space="preserve">Tax</x:t>
        </x:is>
      </x:c>
      <x:c r="F13" s="10" t="inlineStr">
        <x:is>
          <x:t xml:space="preserve">Chat</x:t>
        </x:is>
      </x:c>
      <x:c r="G13" s="11" t="inlineStr">
        <x:is>
          <x:t xml:space="preserve">Email &amp; Outlook</x:t>
        </x:is>
      </x:c>
      <x:c r="H13" s="11" t="inlineStr">
        <x:is>
          <x:t xml:space="preserve">Outlook not opening</x:t>
        </x:is>
      </x:c>
      <x:c r="I13" s="10" t="inlineStr">
        <x:is>
          <x:t xml:space="preserve">Medium</x:t>
        </x:is>
      </x:c>
      <x:c r="J13" s="10" t="inlineStr">
        <x:is>
          <x:t xml:space="preserve">Resolved</x:t>
        </x:is>
      </x:c>
      <x:c r="K13" s="11" t="inlineStr">
        <x:is>
          <x:t xml:space="preserve">L1 Network Support</x:t>
        </x:is>
      </x:c>
      <x:c r="L13" s="10" t="inlineStr">
        <x:is>
          <x:t xml:space="preserve">Agent B</x:t>
        </x:is>
      </x:c>
      <x:c r="M13" s="12" t="n">
        <x:v>72</x:v>
      </x:c>
      <x:c r="N13" s="45" t="n">
        <x:v>4.1</x:v>
      </x:c>
      <x:c r="O13" s="12">
        <x:f>XLOOKUP(I13,SLA_Rules!$A$4:$A$7,SLA_Rules!$B$4:$B$7,"")</x:f>
        <x:v>16</x:v>
      </x:c>
      <x:c r="P13" s="12" t="str">
        <x:f>IF(J13&lt;&gt;"Resolved","Pending",IF(N13&lt;=O13,"Yes","No"))</x:f>
        <x:v>Yes</x:v>
      </x:c>
      <x:c r="Q13" s="10" t="inlineStr">
        <x:is>
          <x:t xml:space="preserve">No</x:t>
        </x:is>
      </x:c>
      <x:c r="R13" s="12" t="n">
        <x:v>4</x:v>
      </x:c>
      <x:c r="S13" s="11" t="inlineStr">
        <x:is>
          <x:t xml:space="preserve">Permission mismatch</x:t>
        </x:is>
      </x:c>
      <x:c r="T13" s="5" t="inlineStr">
        <x:is>
          <x:t xml:space="preserve">Cleared profile/cache and validated mailbox connectivity with user.</x:t>
        </x:is>
      </x:c>
      <x:c r="U13" s="44" t="n">
        <x:v>46091.06736111111</x:v>
      </x:c>
    </x:row>
    <x:row r="14">
      <x:c r="A14" s="8" t="inlineStr">
        <x:is>
          <x:t xml:space="preserve">INC-202603-0013</x:t>
        </x:is>
      </x:c>
      <x:c r="B14" s="44" t="n">
        <x:v>46102.8375</x:v>
      </x:c>
      <x:c r="C14" s="10" t="inlineStr">
        <x:is>
          <x:t xml:space="preserve">US</x:t>
        </x:is>
      </x:c>
      <x:c r="D14" s="8" t="inlineStr">
        <x:is>
          <x:t xml:space="preserve">User 013</x:t>
        </x:is>
      </x:c>
      <x:c r="E14" s="11" t="inlineStr">
        <x:is>
          <x:t xml:space="preserve">Operations</x:t>
        </x:is>
      </x:c>
      <x:c r="F14" s="10" t="inlineStr">
        <x:is>
          <x:t xml:space="preserve">Email</x:t>
        </x:is>
      </x:c>
      <x:c r="G14" s="11" t="inlineStr">
        <x:is>
          <x:t xml:space="preserve">Hardware</x:t>
        </x:is>
      </x:c>
      <x:c r="H14" s="11" t="inlineStr">
        <x:is>
          <x:t xml:space="preserve">Webcam not detected</x:t>
        </x:is>
      </x:c>
      <x:c r="I14" s="10" t="inlineStr">
        <x:is>
          <x:t xml:space="preserve">Low</x:t>
        </x:is>
      </x:c>
      <x:c r="J14" s="10" t="inlineStr">
        <x:is>
          <x:t xml:space="preserve">Resolved</x:t>
        </x:is>
      </x:c>
      <x:c r="K14" s="11" t="inlineStr">
        <x:is>
          <x:t xml:space="preserve">L1 Global Service Desk</x:t>
        </x:is>
      </x:c>
      <x:c r="L14" s="10" t="inlineStr">
        <x:is>
          <x:t xml:space="preserve">Agent F</x:t>
        </x:is>
      </x:c>
      <x:c r="M14" s="12" t="n">
        <x:v>51</x:v>
      </x:c>
      <x:c r="N14" s="45" t="n">
        <x:v>17.6</x:v>
      </x:c>
      <x:c r="O14" s="12">
        <x:f>XLOOKUP(I14,SLA_Rules!$A$4:$A$7,SLA_Rules!$B$4:$B$7,"")</x:f>
        <x:v>24</x:v>
      </x:c>
      <x:c r="P14" s="12" t="str">
        <x:f>IF(J14&lt;&gt;"Resolved","Pending",IF(N14&lt;=O14,"Yes","No"))</x:f>
        <x:v>Yes</x:v>
      </x:c>
      <x:c r="Q14" s="10" t="inlineStr">
        <x:is>
          <x:t xml:space="preserve">No</x:t>
        </x:is>
      </x:c>
      <x:c r="R14" s="12" t="n">
        <x:v>4</x:v>
      </x:c>
      <x:c r="S14" s="11" t="inlineStr">
        <x:is>
          <x:t xml:space="preserve">Network instability</x:t>
        </x:is>
      </x:c>
      <x:c r="T14" s="5" t="inlineStr">
        <x:is>
          <x:t xml:space="preserve">Ran endpoint checks and provided workaround or hardware escalation as needed.</x:t>
        </x:is>
      </x:c>
      <x:c r="U14" s="44" t="n">
        <x:v>46103.57083333333</x:v>
      </x:c>
    </x:row>
    <x:row r="15">
      <x:c r="A15" s="8" t="inlineStr">
        <x:is>
          <x:t xml:space="preserve">INC-202603-0014</x:t>
        </x:is>
      </x:c>
      <x:c r="B15" s="44" t="n">
        <x:v>46109.7125</x:v>
      </x:c>
      <x:c r="C15" s="10" t="inlineStr">
        <x:is>
          <x:t xml:space="preserve">US</x:t>
        </x:is>
      </x:c>
      <x:c r="D15" s="8" t="inlineStr">
        <x:is>
          <x:t xml:space="preserve">User 014</x:t>
        </x:is>
      </x:c>
      <x:c r="E15" s="11" t="inlineStr">
        <x:is>
          <x:t xml:space="preserve">Tax</x:t>
        </x:is>
      </x:c>
      <x:c r="F15" s="10" t="inlineStr">
        <x:is>
          <x:t xml:space="preserve">Web Ticket</x:t>
        </x:is>
      </x:c>
      <x:c r="G15" s="11" t="inlineStr">
        <x:is>
          <x:t xml:space="preserve">Network &amp; VPN</x:t>
        </x:is>
      </x:c>
      <x:c r="H15" s="11" t="inlineStr">
        <x:is>
          <x:t xml:space="preserve">Wi-Fi unstable</x:t>
        </x:is>
      </x:c>
      <x:c r="I15" s="10" t="inlineStr">
        <x:is>
          <x:t xml:space="preserve">Medium</x:t>
        </x:is>
      </x:c>
      <x:c r="J15" s="10" t="inlineStr">
        <x:is>
          <x:t xml:space="preserve">Resolved</x:t>
        </x:is>
      </x:c>
      <x:c r="K15" s="11" t="inlineStr">
        <x:is>
          <x:t xml:space="preserve">L1 Endpoint Support</x:t>
        </x:is>
      </x:c>
      <x:c r="L15" s="10" t="inlineStr">
        <x:is>
          <x:t xml:space="preserve">Agent G</x:t>
        </x:is>
      </x:c>
      <x:c r="M15" s="12" t="n">
        <x:v>13</x:v>
      </x:c>
      <x:c r="N15" s="45" t="n">
        <x:v>15.2</x:v>
      </x:c>
      <x:c r="O15" s="12">
        <x:f>XLOOKUP(I15,SLA_Rules!$A$4:$A$7,SLA_Rules!$B$4:$B$7,"")</x:f>
        <x:v>16</x:v>
      </x:c>
      <x:c r="P15" s="12" t="str">
        <x:f>IF(J15&lt;&gt;"Resolved","Pending",IF(N15&lt;=O15,"Yes","No"))</x:f>
        <x:v>Yes</x:v>
      </x:c>
      <x:c r="Q15" s="10" t="inlineStr">
        <x:is>
          <x:t xml:space="preserve">No</x:t>
        </x:is>
      </x:c>
      <x:c r="R15" s="12" t="n">
        <x:v>5</x:v>
      </x:c>
      <x:c r="S15" s="11" t="inlineStr">
        <x:is>
          <x:t xml:space="preserve">Network instability</x:t>
        </x:is>
      </x:c>
      <x:c r="T15" s="5" t="inlineStr">
        <x:is>
          <x:t xml:space="preserve">Checked connectivity path, reconfigured VPN settings, and confirmed stable access.</x:t>
        </x:is>
      </x:c>
      <x:c r="U15" s="44" t="n">
        <x:v>46110.34583333333</x:v>
      </x:c>
    </x:row>
    <x:row r="16">
      <x:c r="A16" s="8" t="inlineStr">
        <x:is>
          <x:t xml:space="preserve">INC-202603-0015</x:t>
        </x:is>
      </x:c>
      <x:c r="B16" s="44" t="n">
        <x:v>46090.59583333333</x:v>
      </x:c>
      <x:c r="C16" s="10" t="inlineStr">
        <x:is>
          <x:t xml:space="preserve">US</x:t>
        </x:is>
      </x:c>
      <x:c r="D16" s="8" t="inlineStr">
        <x:is>
          <x:t xml:space="preserve">User 015</x:t>
        </x:is>
      </x:c>
      <x:c r="E16" s="11" t="inlineStr">
        <x:is>
          <x:t xml:space="preserve">HR</x:t>
        </x:is>
      </x:c>
      <x:c r="F16" s="10" t="inlineStr">
        <x:is>
          <x:t xml:space="preserve">Phone</x:t>
        </x:is>
      </x:c>
      <x:c r="G16" s="11" t="inlineStr">
        <x:is>
          <x:t xml:space="preserve">Login &amp; Access</x:t>
        </x:is>
      </x:c>
      <x:c r="H16" s="11" t="inlineStr">
        <x:is>
          <x:t xml:space="preserve">Access denied</x:t>
        </x:is>
      </x:c>
      <x:c r="I16" s="10" t="inlineStr">
        <x:is>
          <x:t xml:space="preserve">High</x:t>
        </x:is>
      </x:c>
      <x:c r="J16" s="10" t="inlineStr">
        <x:is>
          <x:t xml:space="preserve">Resolved</x:t>
        </x:is>
      </x:c>
      <x:c r="K16" s="11" t="inlineStr">
        <x:is>
          <x:t xml:space="preserve">L1 Global Service Desk</x:t>
        </x:is>
      </x:c>
      <x:c r="L16" s="10" t="inlineStr">
        <x:is>
          <x:t xml:space="preserve">Agent D</x:t>
        </x:is>
      </x:c>
      <x:c r="M16" s="12" t="n">
        <x:v>37</x:v>
      </x:c>
      <x:c r="N16" s="45" t="n">
        <x:v>7.3</x:v>
      </x:c>
      <x:c r="O16" s="12">
        <x:f>XLOOKUP(I16,SLA_Rules!$A$4:$A$7,SLA_Rules!$B$4:$B$7,"")</x:f>
        <x:v>8</x:v>
      </x:c>
      <x:c r="P16" s="12" t="str">
        <x:f>IF(J16&lt;&gt;"Resolved","Pending",IF(N16&lt;=O16,"Yes","No"))</x:f>
        <x:v>Yes</x:v>
      </x:c>
      <x:c r="Q16" s="10" t="inlineStr">
        <x:is>
          <x:t xml:space="preserve">No</x:t>
        </x:is>
      </x:c>
      <x:c r="R16" s="12" t="n">
        <x:v>4</x:v>
      </x:c>
      <x:c r="S16" s="11" t="inlineStr">
        <x:is>
          <x:t xml:space="preserve">User error</x:t>
        </x:is>
      </x:c>
      <x:c r="T16" s="5" t="inlineStr">
        <x:is>
          <x:t xml:space="preserve">Validated identity, restored access path, and confirmed successful login.</x:t>
        </x:is>
      </x:c>
      <x:c r="U16" s="44" t="n">
        <x:v>46090.9</x:v>
      </x:c>
    </x:row>
    <x:row r="17">
      <x:c r="A17" s="8" t="inlineStr">
        <x:is>
          <x:t xml:space="preserve">INC-202603-0016</x:t>
        </x:is>
      </x:c>
      <x:c r="B17" s="44" t="n">
        <x:v>46084.21111111111</x:v>
      </x:c>
      <x:c r="C17" s="10" t="inlineStr">
        <x:is>
          <x:t xml:space="preserve">India</x:t>
        </x:is>
      </x:c>
      <x:c r="D17" s="8" t="inlineStr">
        <x:is>
          <x:t xml:space="preserve">User 016</x:t>
        </x:is>
      </x:c>
      <x:c r="E17" s="11" t="inlineStr">
        <x:is>
          <x:t xml:space="preserve">Consulting</x:t>
        </x:is>
      </x:c>
      <x:c r="F17" s="10" t="inlineStr">
        <x:is>
          <x:t xml:space="preserve">Email</x:t>
        </x:is>
      </x:c>
      <x:c r="G17" s="11" t="inlineStr">
        <x:is>
          <x:t xml:space="preserve">Software &amp; Application</x:t>
        </x:is>
      </x:c>
      <x:c r="H17" s="11" t="inlineStr">
        <x:is>
          <x:t xml:space="preserve">Update failure</x:t>
        </x:is>
      </x:c>
      <x:c r="I17" s="10" t="inlineStr">
        <x:is>
          <x:t xml:space="preserve">Medium</x:t>
        </x:is>
      </x:c>
      <x:c r="J17" s="10" t="inlineStr">
        <x:is>
          <x:t xml:space="preserve">Resolved</x:t>
        </x:is>
      </x:c>
      <x:c r="K17" s="11" t="inlineStr">
        <x:is>
          <x:t xml:space="preserve">L1 Global Service Desk</x:t>
        </x:is>
      </x:c>
      <x:c r="L17" s="10" t="inlineStr">
        <x:is>
          <x:t xml:space="preserve">Agent E</x:t>
        </x:is>
      </x:c>
      <x:c r="M17" s="12" t="n">
        <x:v>42</x:v>
      </x:c>
      <x:c r="N17" s="45" t="n">
        <x:v>11</x:v>
      </x:c>
      <x:c r="O17" s="12">
        <x:f>XLOOKUP(I17,SLA_Rules!$A$4:$A$7,SLA_Rules!$B$4:$B$7,"")</x:f>
        <x:v>16</x:v>
      </x:c>
      <x:c r="P17" s="12" t="str">
        <x:f>IF(J17&lt;&gt;"Resolved","Pending",IF(N17&lt;=O17,"Yes","No"))</x:f>
        <x:v>Yes</x:v>
      </x:c>
      <x:c r="Q17" s="10" t="inlineStr">
        <x:is>
          <x:t xml:space="preserve">No</x:t>
        </x:is>
      </x:c>
      <x:c r="R17" s="12" t="n">
        <x:v>4</x:v>
      </x:c>
      <x:c r="S17" s="11" t="inlineStr">
        <x:is>
          <x:t xml:space="preserve">Policy enforcement</x:t>
        </x:is>
      </x:c>
      <x:c r="T17" s="5" t="inlineStr">
        <x:is>
          <x:t xml:space="preserve">Validated installation/configuration and completed application repair steps.</x:t>
        </x:is>
      </x:c>
      <x:c r="U17" s="44" t="n">
        <x:v>46084.66944444444</x:v>
      </x:c>
    </x:row>
    <x:row r="18">
      <x:c r="A18" s="8" t="inlineStr">
        <x:is>
          <x:t xml:space="preserve">INC-202603-0017</x:t>
        </x:is>
      </x:c>
      <x:c r="B18" s="44" t="n">
        <x:v>46103.93055555555</x:v>
      </x:c>
      <x:c r="C18" s="10" t="inlineStr">
        <x:is>
          <x:t xml:space="preserve">US</x:t>
        </x:is>
      </x:c>
      <x:c r="D18" s="8" t="inlineStr">
        <x:is>
          <x:t xml:space="preserve">User 017</x:t>
        </x:is>
      </x:c>
      <x:c r="E18" s="11" t="inlineStr">
        <x:is>
          <x:t xml:space="preserve">Finance</x:t>
        </x:is>
      </x:c>
      <x:c r="F18" s="10" t="inlineStr">
        <x:is>
          <x:t xml:space="preserve">Email</x:t>
        </x:is>
      </x:c>
      <x:c r="G18" s="11" t="inlineStr">
        <x:is>
          <x:t xml:space="preserve">Email &amp; Outlook</x:t>
        </x:is>
      </x:c>
      <x:c r="H18" s="11" t="inlineStr">
        <x:is>
          <x:t xml:space="preserve">Search not working</x:t>
        </x:is>
      </x:c>
      <x:c r="I18" s="10" t="inlineStr">
        <x:is>
          <x:t xml:space="preserve">Medium</x:t>
        </x:is>
      </x:c>
      <x:c r="J18" s="10" t="inlineStr">
        <x:is>
          <x:t xml:space="preserve">Resolved</x:t>
        </x:is>
      </x:c>
      <x:c r="K18" s="11" t="inlineStr">
        <x:is>
          <x:t xml:space="preserve">L1 Messaging Support</x:t>
        </x:is>
      </x:c>
      <x:c r="L18" s="10" t="inlineStr">
        <x:is>
          <x:t xml:space="preserve">Agent B</x:t>
        </x:is>
      </x:c>
      <x:c r="M18" s="12" t="n">
        <x:v>50</x:v>
      </x:c>
      <x:c r="N18" s="45" t="n">
        <x:v>7.5</x:v>
      </x:c>
      <x:c r="O18" s="12">
        <x:f>XLOOKUP(I18,SLA_Rules!$A$4:$A$7,SLA_Rules!$B$4:$B$7,"")</x:f>
        <x:v>16</x:v>
      </x:c>
      <x:c r="P18" s="12" t="str">
        <x:f>IF(J18&lt;&gt;"Resolved","Pending",IF(N18&lt;=O18,"Yes","No"))</x:f>
        <x:v>Yes</x:v>
      </x:c>
      <x:c r="Q18" s="10" t="inlineStr">
        <x:is>
          <x:t xml:space="preserve">No</x:t>
        </x:is>
      </x:c>
      <x:c r="R18" s="12" t="n">
        <x:v>5</x:v>
      </x:c>
      <x:c r="S18" s="11" t="inlineStr">
        <x:is>
          <x:t xml:space="preserve">Credential issue</x:t>
        </x:is>
      </x:c>
      <x:c r="T18" s="5" t="inlineStr">
        <x:is>
          <x:t xml:space="preserve">Cleared profile/cache and validated mailbox connectivity with user.</x:t>
        </x:is>
      </x:c>
      <x:c r="U18" s="44" t="n">
        <x:v>46104.24305555555</x:v>
      </x:c>
    </x:row>
    <x:row r="19">
      <x:c r="A19" s="8" t="inlineStr">
        <x:is>
          <x:t xml:space="preserve">INC-202603-0018</x:t>
        </x:is>
      </x:c>
      <x:c r="B19" s="44" t="n">
        <x:v>46110.12222222222</x:v>
      </x:c>
      <x:c r="C19" s="10" t="inlineStr">
        <x:is>
          <x:t xml:space="preserve">India</x:t>
        </x:is>
      </x:c>
      <x:c r="D19" s="8" t="inlineStr">
        <x:is>
          <x:t xml:space="preserve">User 018</x:t>
        </x:is>
      </x:c>
      <x:c r="E19" s="11" t="inlineStr">
        <x:is>
          <x:t xml:space="preserve">Internal Services</x:t>
        </x:is>
      </x:c>
      <x:c r="F19" s="10" t="inlineStr">
        <x:is>
          <x:t xml:space="preserve">Phone</x:t>
        </x:is>
      </x:c>
      <x:c r="G19" s="11" t="inlineStr">
        <x:is>
          <x:t xml:space="preserve">Login &amp; Access</x:t>
        </x:is>
      </x:c>
      <x:c r="H19" s="11" t="inlineStr">
        <x:is>
          <x:t xml:space="preserve">Shared drive permission</x:t>
        </x:is>
      </x:c>
      <x:c r="I19" s="10" t="inlineStr">
        <x:is>
          <x:t xml:space="preserve">High</x:t>
        </x:is>
      </x:c>
      <x:c r="J19" s="10" t="inlineStr">
        <x:is>
          <x:t xml:space="preserve">Pending User</x:t>
        </x:is>
      </x:c>
      <x:c r="K19" s="11" t="inlineStr">
        <x:is>
          <x:t xml:space="preserve">L1 Global Service Desk</x:t>
        </x:is>
      </x:c>
      <x:c r="L19" s="10" t="inlineStr">
        <x:is>
          <x:t xml:space="preserve">Agent C</x:t>
        </x:is>
      </x:c>
      <x:c r="M19" s="12" t="n">
        <x:v>24</x:v>
      </x:c>
      <x:c r="N19" s="12" t="n"/>
      <x:c r="O19" s="12">
        <x:f>XLOOKUP(I19,SLA_Rules!$A$4:$A$7,SLA_Rules!$B$4:$B$7,"")</x:f>
        <x:v>8</x:v>
      </x:c>
      <x:c r="P19" s="12" t="str">
        <x:f>IF(J19&lt;&gt;"Resolved","Pending",IF(N19&lt;=O19,"Yes","No"))</x:f>
        <x:v>Pending</x:v>
      </x:c>
      <x:c r="Q19" s="10" t="inlineStr">
        <x:is>
          <x:t xml:space="preserve">No</x:t>
        </x:is>
      </x:c>
      <x:c r="R19" s="12" t="n"/>
      <x:c r="S19" s="11" t="inlineStr">
        <x:is>
          <x:t xml:space="preserve">Driver problem</x:t>
        </x:is>
      </x:c>
      <x:c r="T19" s="5" t="inlineStr">
        <x:is>
          <x:t xml:space="preserve">Validated identity, restored access path, and confirmed successful login.</x:t>
        </x:is>
      </x:c>
      <x:c r="U19" s="8" t="n"/>
    </x:row>
    <x:row r="20">
      <x:c r="A20" s="8" t="inlineStr">
        <x:is>
          <x:t xml:space="preserve">INC-202603-0019</x:t>
        </x:is>
      </x:c>
      <x:c r="B20" s="44" t="n">
        <x:v>46085.15763888889</x:v>
      </x:c>
      <x:c r="C20" s="10" t="inlineStr">
        <x:is>
          <x:t xml:space="preserve">APAC</x:t>
        </x:is>
      </x:c>
      <x:c r="D20" s="8" t="inlineStr">
        <x:is>
          <x:t xml:space="preserve">User 019</x:t>
        </x:is>
      </x:c>
      <x:c r="E20" s="11" t="inlineStr">
        <x:is>
          <x:t xml:space="preserve">Tax</x:t>
        </x:is>
      </x:c>
      <x:c r="F20" s="10" t="inlineStr">
        <x:is>
          <x:t xml:space="preserve">Phone</x:t>
        </x:is>
      </x:c>
      <x:c r="G20" s="11" t="inlineStr">
        <x:is>
          <x:t xml:space="preserve">Software &amp; Application</x:t>
        </x:is>
      </x:c>
      <x:c r="H20" s="11" t="inlineStr">
        <x:is>
          <x:t xml:space="preserve">Update failure</x:t>
        </x:is>
      </x:c>
      <x:c r="I20" s="10" t="inlineStr">
        <x:is>
          <x:t xml:space="preserve">Low</x:t>
        </x:is>
      </x:c>
      <x:c r="J20" s="10" t="inlineStr">
        <x:is>
          <x:t xml:space="preserve">Resolved</x:t>
        </x:is>
      </x:c>
      <x:c r="K20" s="11" t="inlineStr">
        <x:is>
          <x:t xml:space="preserve">L1 Identity Support</x:t>
        </x:is>
      </x:c>
      <x:c r="L20" s="10" t="inlineStr">
        <x:is>
          <x:t xml:space="preserve">Agent C</x:t>
        </x:is>
      </x:c>
      <x:c r="M20" s="12" t="n">
        <x:v>77</x:v>
      </x:c>
      <x:c r="N20" s="45" t="n">
        <x:v>8.800000000000001</x:v>
      </x:c>
      <x:c r="O20" s="12">
        <x:f>XLOOKUP(I20,SLA_Rules!$A$4:$A$7,SLA_Rules!$B$4:$B$7,"")</x:f>
        <x:v>24</x:v>
      </x:c>
      <x:c r="P20" s="12" t="str">
        <x:f>IF(J20&lt;&gt;"Resolved","Pending",IF(N20&lt;=O20,"Yes","No"))</x:f>
        <x:v>Yes</x:v>
      </x:c>
      <x:c r="Q20" s="10" t="inlineStr">
        <x:is>
          <x:t xml:space="preserve">No</x:t>
        </x:is>
      </x:c>
      <x:c r="R20" s="12" t="n">
        <x:v>5</x:v>
      </x:c>
      <x:c r="S20" s="11" t="inlineStr">
        <x:is>
          <x:t xml:space="preserve">Network instability</x:t>
        </x:is>
      </x:c>
      <x:c r="T20" s="5" t="inlineStr">
        <x:is>
          <x:t xml:space="preserve">Validated installation/configuration and completed application repair steps.</x:t>
        </x:is>
      </x:c>
      <x:c r="U20" s="44" t="n">
        <x:v>46085.52430555555</x:v>
      </x:c>
    </x:row>
    <x:row r="21">
      <x:c r="A21" s="8" t="inlineStr">
        <x:is>
          <x:t xml:space="preserve">INC-202603-0020</x:t>
        </x:is>
      </x:c>
      <x:c r="B21" s="44" t="n">
        <x:v>46090.04166666666</x:v>
      </x:c>
      <x:c r="C21" s="10" t="inlineStr">
        <x:is>
          <x:t xml:space="preserve">APAC</x:t>
        </x:is>
      </x:c>
      <x:c r="D21" s="8" t="inlineStr">
        <x:is>
          <x:t xml:space="preserve">User 020</x:t>
        </x:is>
      </x:c>
      <x:c r="E21" s="11" t="inlineStr">
        <x:is>
          <x:t xml:space="preserve">Tax</x:t>
        </x:is>
      </x:c>
      <x:c r="F21" s="10" t="inlineStr">
        <x:is>
          <x:t xml:space="preserve">Chat</x:t>
        </x:is>
      </x:c>
      <x:c r="G21" s="11" t="inlineStr">
        <x:is>
          <x:t xml:space="preserve">Software &amp; Application</x:t>
        </x:is>
      </x:c>
      <x:c r="H21" s="11" t="inlineStr">
        <x:is>
          <x:t xml:space="preserve">License activation</x:t>
        </x:is>
      </x:c>
      <x:c r="I21" s="10" t="inlineStr">
        <x:is>
          <x:t xml:space="preserve">Low</x:t>
        </x:is>
      </x:c>
      <x:c r="J21" s="10" t="inlineStr">
        <x:is>
          <x:t xml:space="preserve">Resolved</x:t>
        </x:is>
      </x:c>
      <x:c r="K21" s="11" t="inlineStr">
        <x:is>
          <x:t xml:space="preserve">L1 Endpoint Support</x:t>
        </x:is>
      </x:c>
      <x:c r="L21" s="10" t="inlineStr">
        <x:is>
          <x:t xml:space="preserve">Agent G</x:t>
        </x:is>
      </x:c>
      <x:c r="M21" s="12" t="n">
        <x:v>91</x:v>
      </x:c>
      <x:c r="N21" s="45" t="n">
        <x:v>6.1</x:v>
      </x:c>
      <x:c r="O21" s="12">
        <x:f>XLOOKUP(I21,SLA_Rules!$A$4:$A$7,SLA_Rules!$B$4:$B$7,"")</x:f>
        <x:v>24</x:v>
      </x:c>
      <x:c r="P21" s="12" t="str">
        <x:f>IF(J21&lt;&gt;"Resolved","Pending",IF(N21&lt;=O21,"Yes","No"))</x:f>
        <x:v>Yes</x:v>
      </x:c>
      <x:c r="Q21" s="10" t="inlineStr">
        <x:is>
          <x:t xml:space="preserve">No</x:t>
        </x:is>
      </x:c>
      <x:c r="R21" s="12" t="n">
        <x:v>4</x:v>
      </x:c>
      <x:c r="S21" s="11" t="inlineStr">
        <x:is>
          <x:t xml:space="preserve">Permission mismatch</x:t>
        </x:is>
      </x:c>
      <x:c r="T21" s="5" t="inlineStr">
        <x:is>
          <x:t xml:space="preserve">Validated installation/configuration and completed application repair steps.</x:t>
        </x:is>
      </x:c>
      <x:c r="U21" s="44" t="n">
        <x:v>46090.29583333333</x:v>
      </x:c>
    </x:row>
    <x:row r="22">
      <x:c r="A22" s="8" t="inlineStr">
        <x:is>
          <x:t xml:space="preserve">INC-202603-0021</x:t>
        </x:is>
      </x:c>
      <x:c r="B22" s="44" t="n">
        <x:v>46108.48402777778</x:v>
      </x:c>
      <x:c r="C22" s="10" t="inlineStr">
        <x:is>
          <x:t xml:space="preserve">India</x:t>
        </x:is>
      </x:c>
      <x:c r="D22" s="8" t="inlineStr">
        <x:is>
          <x:t xml:space="preserve">User 021</x:t>
        </x:is>
      </x:c>
      <x:c r="E22" s="11" t="inlineStr">
        <x:is>
          <x:t xml:space="preserve">Consulting</x:t>
        </x:is>
      </x:c>
      <x:c r="F22" s="10" t="inlineStr">
        <x:is>
          <x:t xml:space="preserve">Web Ticket</x:t>
        </x:is>
      </x:c>
      <x:c r="G22" s="11" t="inlineStr">
        <x:is>
          <x:t xml:space="preserve">Network &amp; VPN</x:t>
        </x:is>
      </x:c>
      <x:c r="H22" s="11" t="inlineStr">
        <x:is>
          <x:t xml:space="preserve">DNS error</x:t>
        </x:is>
      </x:c>
      <x:c r="I22" s="10" t="inlineStr">
        <x:is>
          <x:t xml:space="preserve">High</x:t>
        </x:is>
      </x:c>
      <x:c r="J22" s="10" t="inlineStr">
        <x:is>
          <x:t xml:space="preserve">Resolved</x:t>
        </x:is>
      </x:c>
      <x:c r="K22" s="11" t="inlineStr">
        <x:is>
          <x:t xml:space="preserve">L1 Network Support</x:t>
        </x:is>
      </x:c>
      <x:c r="L22" s="10" t="inlineStr">
        <x:is>
          <x:t xml:space="preserve">Agent A</x:t>
        </x:is>
      </x:c>
      <x:c r="M22" s="12" t="n">
        <x:v>8</x:v>
      </x:c>
      <x:c r="N22" s="45" t="n">
        <x:v>4</x:v>
      </x:c>
      <x:c r="O22" s="12">
        <x:f>XLOOKUP(I22,SLA_Rules!$A$4:$A$7,SLA_Rules!$B$4:$B$7,"")</x:f>
        <x:v>8</x:v>
      </x:c>
      <x:c r="P22" s="12" t="str">
        <x:f>IF(J22&lt;&gt;"Resolved","Pending",IF(N22&lt;=O22,"Yes","No"))</x:f>
        <x:v>Yes</x:v>
      </x:c>
      <x:c r="Q22" s="10" t="inlineStr">
        <x:is>
          <x:t xml:space="preserve">No</x:t>
        </x:is>
      </x:c>
      <x:c r="R22" s="12" t="n">
        <x:v>4</x:v>
      </x:c>
      <x:c r="S22" s="11" t="inlineStr">
        <x:is>
          <x:t xml:space="preserve">User error</x:t>
        </x:is>
      </x:c>
      <x:c r="T22" s="5" t="inlineStr">
        <x:is>
          <x:t xml:space="preserve">Checked connectivity path, reconfigured VPN settings, and confirmed stable access.</x:t>
        </x:is>
      </x:c>
      <x:c r="U22" s="44" t="n">
        <x:v>46108.65069444444</x:v>
      </x:c>
    </x:row>
    <x:row r="23">
      <x:c r="A23" s="8" t="inlineStr">
        <x:is>
          <x:t xml:space="preserve">INC-202603-0022</x:t>
        </x:is>
      </x:c>
      <x:c r="B23" s="44" t="n">
        <x:v>46109.24375</x:v>
      </x:c>
      <x:c r="C23" s="10" t="inlineStr">
        <x:is>
          <x:t xml:space="preserve">US</x:t>
        </x:is>
      </x:c>
      <x:c r="D23" s="8" t="inlineStr">
        <x:is>
          <x:t xml:space="preserve">User 022</x:t>
        </x:is>
      </x:c>
      <x:c r="E23" s="11" t="inlineStr">
        <x:is>
          <x:t xml:space="preserve">HR</x:t>
        </x:is>
      </x:c>
      <x:c r="F23" s="10" t="inlineStr">
        <x:is>
          <x:t xml:space="preserve">Email</x:t>
        </x:is>
      </x:c>
      <x:c r="G23" s="11" t="inlineStr">
        <x:is>
          <x:t xml:space="preserve">Password Reset</x:t>
        </x:is>
      </x:c>
      <x:c r="H23" s="11" t="inlineStr">
        <x:is>
          <x:t xml:space="preserve">Reset link failed</x:t>
        </x:is>
      </x:c>
      <x:c r="I23" s="10" t="inlineStr">
        <x:is>
          <x:t xml:space="preserve">Low</x:t>
        </x:is>
      </x:c>
      <x:c r="J23" s="10" t="inlineStr">
        <x:is>
          <x:t xml:space="preserve">Resolved</x:t>
        </x:is>
      </x:c>
      <x:c r="K23" s="11" t="inlineStr">
        <x:is>
          <x:t xml:space="preserve">L1 Global Service Desk</x:t>
        </x:is>
      </x:c>
      <x:c r="L23" s="10" t="inlineStr">
        <x:is>
          <x:t xml:space="preserve">Agent B</x:t>
        </x:is>
      </x:c>
      <x:c r="M23" s="12" t="n">
        <x:v>30</x:v>
      </x:c>
      <x:c r="N23" s="45" t="n">
        <x:v>20.5</x:v>
      </x:c>
      <x:c r="O23" s="12">
        <x:f>XLOOKUP(I23,SLA_Rules!$A$4:$A$7,SLA_Rules!$B$4:$B$7,"")</x:f>
        <x:v>24</x:v>
      </x:c>
      <x:c r="P23" s="12" t="str">
        <x:f>IF(J23&lt;&gt;"Resolved","Pending",IF(N23&lt;=O23,"Yes","No"))</x:f>
        <x:v>Yes</x:v>
      </x:c>
      <x:c r="Q23" s="10" t="inlineStr">
        <x:is>
          <x:t xml:space="preserve">No</x:t>
        </x:is>
      </x:c>
      <x:c r="R23" s="12" t="n">
        <x:v>4</x:v>
      </x:c>
      <x:c r="S23" s="11" t="inlineStr">
        <x:is>
          <x:t xml:space="preserve">Application cache</x:t>
        </x:is>
      </x:c>
      <x:c r="T23" s="5" t="inlineStr">
        <x:is>
          <x:t xml:space="preserve">Completed identity validation and processed password reset successfully.</x:t>
        </x:is>
      </x:c>
      <x:c r="U23" s="44" t="n">
        <x:v>46110.09791666667</x:v>
      </x:c>
    </x:row>
    <x:row r="24">
      <x:c r="A24" s="8" t="inlineStr">
        <x:is>
          <x:t xml:space="preserve">INC-202603-0023</x:t>
        </x:is>
      </x:c>
      <x:c r="B24" s="44" t="n">
        <x:v>46088.59861111111</x:v>
      </x:c>
      <x:c r="C24" s="10" t="inlineStr">
        <x:is>
          <x:t xml:space="preserve">UK</x:t>
        </x:is>
      </x:c>
      <x:c r="D24" s="8" t="inlineStr">
        <x:is>
          <x:t xml:space="preserve">User 023</x:t>
        </x:is>
      </x:c>
      <x:c r="E24" s="11" t="inlineStr">
        <x:is>
          <x:t xml:space="preserve">Audit</x:t>
        </x:is>
      </x:c>
      <x:c r="F24" s="10" t="inlineStr">
        <x:is>
          <x:t xml:space="preserve">Phone</x:t>
        </x:is>
      </x:c>
      <x:c r="G24" s="11" t="inlineStr">
        <x:is>
          <x:t xml:space="preserve">Hardware</x:t>
        </x:is>
      </x:c>
      <x:c r="H24" s="11" t="inlineStr">
        <x:is>
          <x:t xml:space="preserve">Docking station issue</x:t>
        </x:is>
      </x:c>
      <x:c r="I24" s="10" t="inlineStr">
        <x:is>
          <x:t xml:space="preserve">Low</x:t>
        </x:is>
      </x:c>
      <x:c r="J24" s="10" t="inlineStr">
        <x:is>
          <x:t xml:space="preserve">Resolved</x:t>
        </x:is>
      </x:c>
      <x:c r="K24" s="11" t="inlineStr">
        <x:is>
          <x:t xml:space="preserve">L1 Endpoint Support</x:t>
        </x:is>
      </x:c>
      <x:c r="L24" s="10" t="inlineStr">
        <x:is>
          <x:t xml:space="preserve">Agent B</x:t>
        </x:is>
      </x:c>
      <x:c r="M24" s="12" t="n">
        <x:v>82</x:v>
      </x:c>
      <x:c r="N24" s="45" t="n">
        <x:v>18.9</x:v>
      </x:c>
      <x:c r="O24" s="12">
        <x:f>XLOOKUP(I24,SLA_Rules!$A$4:$A$7,SLA_Rules!$B$4:$B$7,"")</x:f>
        <x:v>24</x:v>
      </x:c>
      <x:c r="P24" s="12" t="str">
        <x:f>IF(J24&lt;&gt;"Resolved","Pending",IF(N24&lt;=O24,"Yes","No"))</x:f>
        <x:v>Yes</x:v>
      </x:c>
      <x:c r="Q24" s="10" t="inlineStr">
        <x:is>
          <x:t xml:space="preserve">No</x:t>
        </x:is>
      </x:c>
      <x:c r="R24" s="12" t="n">
        <x:v>4</x:v>
      </x:c>
      <x:c r="S24" s="11" t="inlineStr">
        <x:is>
          <x:t xml:space="preserve">Network instability</x:t>
        </x:is>
      </x:c>
      <x:c r="T24" s="5" t="inlineStr">
        <x:is>
          <x:t xml:space="preserve">Ran endpoint checks and provided workaround or hardware escalation as needed.</x:t>
        </x:is>
      </x:c>
      <x:c r="U24" s="44" t="n">
        <x:v>46089.38611111111</x:v>
      </x:c>
    </x:row>
    <x:row r="25">
      <x:c r="A25" s="8" t="inlineStr">
        <x:is>
          <x:t xml:space="preserve">INC-202603-0024</x:t>
        </x:is>
      </x:c>
      <x:c r="B25" s="44" t="n">
        <x:v>46112.00486111111</x:v>
      </x:c>
      <x:c r="C25" s="10" t="inlineStr">
        <x:is>
          <x:t xml:space="preserve">India</x:t>
        </x:is>
      </x:c>
      <x:c r="D25" s="8" t="inlineStr">
        <x:is>
          <x:t xml:space="preserve">User 024</x:t>
        </x:is>
      </x:c>
      <x:c r="E25" s="11" t="inlineStr">
        <x:is>
          <x:t xml:space="preserve">HR</x:t>
        </x:is>
      </x:c>
      <x:c r="F25" s="10" t="inlineStr">
        <x:is>
          <x:t xml:space="preserve">Chat</x:t>
        </x:is>
      </x:c>
      <x:c r="G25" s="11" t="inlineStr">
        <x:is>
          <x:t xml:space="preserve">Email &amp; Outlook</x:t>
        </x:is>
      </x:c>
      <x:c r="H25" s="11" t="inlineStr">
        <x:is>
          <x:t xml:space="preserve">Attachment blocked</x:t>
        </x:is>
      </x:c>
      <x:c r="I25" s="10" t="inlineStr">
        <x:is>
          <x:t xml:space="preserve">Medium</x:t>
        </x:is>
      </x:c>
      <x:c r="J25" s="10" t="inlineStr">
        <x:is>
          <x:t xml:space="preserve">Pending User</x:t>
        </x:is>
      </x:c>
      <x:c r="K25" s="11" t="inlineStr">
        <x:is>
          <x:t xml:space="preserve">L1 Network Support</x:t>
        </x:is>
      </x:c>
      <x:c r="L25" s="10" t="inlineStr">
        <x:is>
          <x:t xml:space="preserve">Agent C</x:t>
        </x:is>
      </x:c>
      <x:c r="M25" s="12" t="n">
        <x:v>51</x:v>
      </x:c>
      <x:c r="N25" s="12" t="n"/>
      <x:c r="O25" s="12">
        <x:f>XLOOKUP(I25,SLA_Rules!$A$4:$A$7,SLA_Rules!$B$4:$B$7,"")</x:f>
        <x:v>16</x:v>
      </x:c>
      <x:c r="P25" s="12" t="str">
        <x:f>IF(J25&lt;&gt;"Resolved","Pending",IF(N25&lt;=O25,"Yes","No"))</x:f>
        <x:v>Pending</x:v>
      </x:c>
      <x:c r="Q25" s="10" t="inlineStr">
        <x:is>
          <x:t xml:space="preserve">Yes</x:t>
        </x:is>
      </x:c>
      <x:c r="R25" s="12" t="n"/>
      <x:c r="S25" s="11" t="inlineStr">
        <x:is>
          <x:t xml:space="preserve">Expired password</x:t>
        </x:is>
      </x:c>
      <x:c r="T25" s="5" t="inlineStr">
        <x:is>
          <x:t xml:space="preserve">Cleared profile/cache and validated mailbox connectivity with user.</x:t>
        </x:is>
      </x:c>
      <x:c r="U25" s="8" t="n"/>
    </x:row>
    <x:row r="26">
      <x:c r="A26" s="8" t="inlineStr">
        <x:is>
          <x:t xml:space="preserve">INC-202603-0025</x:t>
        </x:is>
      </x:c>
      <x:c r="B26" s="44" t="n">
        <x:v>46088.33472222222</x:v>
      </x:c>
      <x:c r="C26" s="10" t="inlineStr">
        <x:is>
          <x:t xml:space="preserve">UK</x:t>
        </x:is>
      </x:c>
      <x:c r="D26" s="8" t="inlineStr">
        <x:is>
          <x:t xml:space="preserve">User 025</x:t>
        </x:is>
      </x:c>
      <x:c r="E26" s="11" t="inlineStr">
        <x:is>
          <x:t xml:space="preserve">Tax</x:t>
        </x:is>
      </x:c>
      <x:c r="F26" s="10" t="inlineStr">
        <x:is>
          <x:t xml:space="preserve">Email</x:t>
        </x:is>
      </x:c>
      <x:c r="G26" s="11" t="inlineStr">
        <x:is>
          <x:t xml:space="preserve">Login &amp; Access</x:t>
        </x:is>
      </x:c>
      <x:c r="H26" s="11" t="inlineStr">
        <x:is>
          <x:t xml:space="preserve">Shared drive permission</x:t>
        </x:is>
      </x:c>
      <x:c r="I26" s="10" t="inlineStr">
        <x:is>
          <x:t xml:space="preserve">High</x:t>
        </x:is>
      </x:c>
      <x:c r="J26" s="10" t="inlineStr">
        <x:is>
          <x:t xml:space="preserve">Resolved</x:t>
        </x:is>
      </x:c>
      <x:c r="K26" s="11" t="inlineStr">
        <x:is>
          <x:t xml:space="preserve">L1 Identity Support</x:t>
        </x:is>
      </x:c>
      <x:c r="L26" s="10" t="inlineStr">
        <x:is>
          <x:t xml:space="preserve">Agent E</x:t>
        </x:is>
      </x:c>
      <x:c r="M26" s="12" t="n">
        <x:v>18</x:v>
      </x:c>
      <x:c r="N26" s="45" t="n">
        <x:v>1.2</x:v>
      </x:c>
      <x:c r="O26" s="12">
        <x:f>XLOOKUP(I26,SLA_Rules!$A$4:$A$7,SLA_Rules!$B$4:$B$7,"")</x:f>
        <x:v>8</x:v>
      </x:c>
      <x:c r="P26" s="12" t="str">
        <x:f>IF(J26&lt;&gt;"Resolved","Pending",IF(N26&lt;=O26,"Yes","No"))</x:f>
        <x:v>Yes</x:v>
      </x:c>
      <x:c r="Q26" s="10" t="inlineStr">
        <x:is>
          <x:t xml:space="preserve">Yes</x:t>
        </x:is>
      </x:c>
      <x:c r="R26" s="12" t="n">
        <x:v>4</x:v>
      </x:c>
      <x:c r="S26" s="11" t="inlineStr">
        <x:is>
          <x:t xml:space="preserve">Application cache</x:t>
        </x:is>
      </x:c>
      <x:c r="T26" s="5" t="inlineStr">
        <x:is>
          <x:t xml:space="preserve">Validated identity, restored access path, and confirmed successful login.</x:t>
        </x:is>
      </x:c>
      <x:c r="U26" s="44" t="n">
        <x:v>46088.38472222222</x:v>
      </x:c>
    </x:row>
    <x:row r="27">
      <x:c r="A27" s="8" t="inlineStr">
        <x:is>
          <x:t xml:space="preserve">INC-202603-0026</x:t>
        </x:is>
      </x:c>
      <x:c r="B27" s="44" t="n">
        <x:v>46088.57083333333</x:v>
      </x:c>
      <x:c r="C27" s="10" t="inlineStr">
        <x:is>
          <x:t xml:space="preserve">UK</x:t>
        </x:is>
      </x:c>
      <x:c r="D27" s="8" t="inlineStr">
        <x:is>
          <x:t xml:space="preserve">User 026</x:t>
        </x:is>
      </x:c>
      <x:c r="E27" s="11" t="inlineStr">
        <x:is>
          <x:t xml:space="preserve">Internal Services</x:t>
        </x:is>
      </x:c>
      <x:c r="F27" s="10" t="inlineStr">
        <x:is>
          <x:t xml:space="preserve">Phone</x:t>
        </x:is>
      </x:c>
      <x:c r="G27" s="11" t="inlineStr">
        <x:is>
          <x:t xml:space="preserve">Software &amp; Application</x:t>
        </x:is>
      </x:c>
      <x:c r="H27" s="11" t="inlineStr">
        <x:is>
          <x:t xml:space="preserve">App crash</x:t>
        </x:is>
      </x:c>
      <x:c r="I27" s="10" t="inlineStr">
        <x:is>
          <x:t xml:space="preserve">High</x:t>
        </x:is>
      </x:c>
      <x:c r="J27" s="10" t="inlineStr">
        <x:is>
          <x:t xml:space="preserve">Resolved</x:t>
        </x:is>
      </x:c>
      <x:c r="K27" s="11" t="inlineStr">
        <x:is>
          <x:t xml:space="preserve">L1 Network Support</x:t>
        </x:is>
      </x:c>
      <x:c r="L27" s="10" t="inlineStr">
        <x:is>
          <x:t xml:space="preserve">Agent B</x:t>
        </x:is>
      </x:c>
      <x:c r="M27" s="12" t="n">
        <x:v>17</x:v>
      </x:c>
      <x:c r="N27" s="45" t="n">
        <x:v>10.1</x:v>
      </x:c>
      <x:c r="O27" s="12">
        <x:f>XLOOKUP(I27,SLA_Rules!$A$4:$A$7,SLA_Rules!$B$4:$B$7,"")</x:f>
        <x:v>8</x:v>
      </x:c>
      <x:c r="P27" s="12" t="str">
        <x:f>IF(J27&lt;&gt;"Resolved","Pending",IF(N27&lt;=O27,"Yes","No"))</x:f>
        <x:v>No</x:v>
      </x:c>
      <x:c r="Q27" s="10" t="inlineStr">
        <x:is>
          <x:t xml:space="preserve">Yes</x:t>
        </x:is>
      </x:c>
      <x:c r="R27" s="12" t="n">
        <x:v>4</x:v>
      </x:c>
      <x:c r="S27" s="11" t="inlineStr">
        <x:is>
          <x:t xml:space="preserve">Expired password</x:t>
        </x:is>
      </x:c>
      <x:c r="T27" s="5" t="inlineStr">
        <x:is>
          <x:t xml:space="preserve">Validated installation/configuration and completed application repair steps.</x:t>
        </x:is>
      </x:c>
      <x:c r="U27" s="44" t="n">
        <x:v>46088.99166666667</x:v>
      </x:c>
    </x:row>
    <x:row r="28">
      <x:c r="A28" s="8" t="inlineStr">
        <x:is>
          <x:t xml:space="preserve">INC-202603-0027</x:t>
        </x:is>
      </x:c>
      <x:c r="B28" s="44" t="n">
        <x:v>46096.88402777778</x:v>
      </x:c>
      <x:c r="C28" s="10" t="inlineStr">
        <x:is>
          <x:t xml:space="preserve">US</x:t>
        </x:is>
      </x:c>
      <x:c r="D28" s="8" t="inlineStr">
        <x:is>
          <x:t xml:space="preserve">User 027</x:t>
        </x:is>
      </x:c>
      <x:c r="E28" s="11" t="inlineStr">
        <x:is>
          <x:t xml:space="preserve">Finance</x:t>
        </x:is>
      </x:c>
      <x:c r="F28" s="10" t="inlineStr">
        <x:is>
          <x:t xml:space="preserve">Email</x:t>
        </x:is>
      </x:c>
      <x:c r="G28" s="11" t="inlineStr">
        <x:is>
          <x:t xml:space="preserve">Network &amp; VPN</x:t>
        </x:is>
      </x:c>
      <x:c r="H28" s="11" t="inlineStr">
        <x:is>
          <x:t xml:space="preserve">VPN not connecting</x:t>
        </x:is>
      </x:c>
      <x:c r="I28" s="10" t="inlineStr">
        <x:is>
          <x:t xml:space="preserve">Critical</x:t>
        </x:is>
      </x:c>
      <x:c r="J28" s="10" t="inlineStr">
        <x:is>
          <x:t xml:space="preserve">Resolved</x:t>
        </x:is>
      </x:c>
      <x:c r="K28" s="11" t="inlineStr">
        <x:is>
          <x:t xml:space="preserve">L1 Endpoint Support</x:t>
        </x:is>
      </x:c>
      <x:c r="L28" s="10" t="inlineStr">
        <x:is>
          <x:t xml:space="preserve">Agent D</x:t>
        </x:is>
      </x:c>
      <x:c r="M28" s="12" t="n">
        <x:v>8</x:v>
      </x:c>
      <x:c r="N28" s="45" t="n">
        <x:v>3.1</x:v>
      </x:c>
      <x:c r="O28" s="12">
        <x:f>XLOOKUP(I28,SLA_Rules!$A$4:$A$7,SLA_Rules!$B$4:$B$7,"")</x:f>
        <x:v>4</x:v>
      </x:c>
      <x:c r="P28" s="12" t="str">
        <x:f>IF(J28&lt;&gt;"Resolved","Pending",IF(N28&lt;=O28,"Yes","No"))</x:f>
        <x:v>Yes</x:v>
      </x:c>
      <x:c r="Q28" s="10" t="inlineStr">
        <x:is>
          <x:t xml:space="preserve">No</x:t>
        </x:is>
      </x:c>
      <x:c r="R28" s="12" t="n">
        <x:v>5</x:v>
      </x:c>
      <x:c r="S28" s="11" t="inlineStr">
        <x:is>
          <x:t xml:space="preserve">Policy enforcement</x:t>
        </x:is>
      </x:c>
      <x:c r="T28" s="5" t="inlineStr">
        <x:is>
          <x:t xml:space="preserve">Checked connectivity path, reconfigured VPN settings, and confirmed stable access.</x:t>
        </x:is>
      </x:c>
      <x:c r="U28" s="44" t="n">
        <x:v>46097.01319444444</x:v>
      </x:c>
    </x:row>
    <x:row r="29">
      <x:c r="A29" s="8" t="inlineStr">
        <x:is>
          <x:t xml:space="preserve">INC-202603-0028</x:t>
        </x:is>
      </x:c>
      <x:c r="B29" s="44" t="n">
        <x:v>46109.10347222222</x:v>
      </x:c>
      <x:c r="C29" s="10" t="inlineStr">
        <x:is>
          <x:t xml:space="preserve">India</x:t>
        </x:is>
      </x:c>
      <x:c r="D29" s="8" t="inlineStr">
        <x:is>
          <x:t xml:space="preserve">User 028</x:t>
        </x:is>
      </x:c>
      <x:c r="E29" s="11" t="inlineStr">
        <x:is>
          <x:t xml:space="preserve">Risk Advisory</x:t>
        </x:is>
      </x:c>
      <x:c r="F29" s="10" t="inlineStr">
        <x:is>
          <x:t xml:space="preserve">Phone</x:t>
        </x:is>
      </x:c>
      <x:c r="G29" s="11" t="inlineStr">
        <x:is>
          <x:t xml:space="preserve">Email &amp; Outlook</x:t>
        </x:is>
      </x:c>
      <x:c r="H29" s="11" t="inlineStr">
        <x:is>
          <x:t xml:space="preserve">Mailbox sync delay</x:t>
        </x:is>
      </x:c>
      <x:c r="I29" s="10" t="inlineStr">
        <x:is>
          <x:t xml:space="preserve">Low</x:t>
        </x:is>
      </x:c>
      <x:c r="J29" s="10" t="inlineStr">
        <x:is>
          <x:t xml:space="preserve">Resolved</x:t>
        </x:is>
      </x:c>
      <x:c r="K29" s="11" t="inlineStr">
        <x:is>
          <x:t xml:space="preserve">L1 Endpoint Support</x:t>
        </x:is>
      </x:c>
      <x:c r="L29" s="10" t="inlineStr">
        <x:is>
          <x:t xml:space="preserve">Agent E</x:t>
        </x:is>
      </x:c>
      <x:c r="M29" s="12" t="n">
        <x:v>73</x:v>
      </x:c>
      <x:c r="N29" s="45" t="n">
        <x:v>15.7</x:v>
      </x:c>
      <x:c r="O29" s="12">
        <x:f>XLOOKUP(I29,SLA_Rules!$A$4:$A$7,SLA_Rules!$B$4:$B$7,"")</x:f>
        <x:v>24</x:v>
      </x:c>
      <x:c r="P29" s="12" t="str">
        <x:f>IF(J29&lt;&gt;"Resolved","Pending",IF(N29&lt;=O29,"Yes","No"))</x:f>
        <x:v>Yes</x:v>
      </x:c>
      <x:c r="Q29" s="10" t="inlineStr">
        <x:is>
          <x:t xml:space="preserve">No</x:t>
        </x:is>
      </x:c>
      <x:c r="R29" s="12" t="n">
        <x:v>5</x:v>
      </x:c>
      <x:c r="S29" s="11" t="inlineStr">
        <x:is>
          <x:t xml:space="preserve">Pending update</x:t>
        </x:is>
      </x:c>
      <x:c r="T29" s="5" t="inlineStr">
        <x:is>
          <x:t xml:space="preserve">Cleared profile/cache and validated mailbox connectivity with user.</x:t>
        </x:is>
      </x:c>
      <x:c r="U29" s="44" t="n">
        <x:v>46109.75763888889</x:v>
      </x:c>
    </x:row>
    <x:row r="30">
      <x:c r="A30" s="8" t="inlineStr">
        <x:is>
          <x:t xml:space="preserve">INC-202603-0029</x:t>
        </x:is>
      </x:c>
      <x:c r="B30" s="44" t="n">
        <x:v>46087.93958333333</x:v>
      </x:c>
      <x:c r="C30" s="10" t="inlineStr">
        <x:is>
          <x:t xml:space="preserve">India</x:t>
        </x:is>
      </x:c>
      <x:c r="D30" s="8" t="inlineStr">
        <x:is>
          <x:t xml:space="preserve">User 029</x:t>
        </x:is>
      </x:c>
      <x:c r="E30" s="11" t="inlineStr">
        <x:is>
          <x:t xml:space="preserve">Tax</x:t>
        </x:is>
      </x:c>
      <x:c r="F30" s="10" t="inlineStr">
        <x:is>
          <x:t xml:space="preserve">Chat</x:t>
        </x:is>
      </x:c>
      <x:c r="G30" s="11" t="inlineStr">
        <x:is>
          <x:t xml:space="preserve">Network &amp; VPN</x:t>
        </x:is>
      </x:c>
      <x:c r="H30" s="11" t="inlineStr">
        <x:is>
          <x:t xml:space="preserve">Wi-Fi unstable</x:t>
        </x:is>
      </x:c>
      <x:c r="I30" s="10" t="inlineStr">
        <x:is>
          <x:t xml:space="preserve">Medium</x:t>
        </x:is>
      </x:c>
      <x:c r="J30" s="10" t="inlineStr">
        <x:is>
          <x:t xml:space="preserve">Resolved</x:t>
        </x:is>
      </x:c>
      <x:c r="K30" s="11" t="inlineStr">
        <x:is>
          <x:t xml:space="preserve">L1 Endpoint Support</x:t>
        </x:is>
      </x:c>
      <x:c r="L30" s="10" t="inlineStr">
        <x:is>
          <x:t xml:space="preserve">Agent B</x:t>
        </x:is>
      </x:c>
      <x:c r="M30" s="12" t="n">
        <x:v>27</x:v>
      </x:c>
      <x:c r="N30" s="45" t="n">
        <x:v>9.5</x:v>
      </x:c>
      <x:c r="O30" s="12">
        <x:f>XLOOKUP(I30,SLA_Rules!$A$4:$A$7,SLA_Rules!$B$4:$B$7,"")</x:f>
        <x:v>16</x:v>
      </x:c>
      <x:c r="P30" s="12" t="str">
        <x:f>IF(J30&lt;&gt;"Resolved","Pending",IF(N30&lt;=O30,"Yes","No"))</x:f>
        <x:v>Yes</x:v>
      </x:c>
      <x:c r="Q30" s="10" t="inlineStr">
        <x:is>
          <x:t xml:space="preserve">No</x:t>
        </x:is>
      </x:c>
      <x:c r="R30" s="12" t="n">
        <x:v>5</x:v>
      </x:c>
      <x:c r="S30" s="11" t="inlineStr">
        <x:is>
          <x:t xml:space="preserve">Permission mismatch</x:t>
        </x:is>
      </x:c>
      <x:c r="T30" s="5" t="inlineStr">
        <x:is>
          <x:t xml:space="preserve">Checked connectivity path, reconfigured VPN settings, and confirmed stable access.</x:t>
        </x:is>
      </x:c>
      <x:c r="U30" s="44" t="n">
        <x:v>46088.33541666667</x:v>
      </x:c>
    </x:row>
    <x:row r="31">
      <x:c r="A31" s="8" t="inlineStr">
        <x:is>
          <x:t xml:space="preserve">INC-202603-0030</x:t>
        </x:is>
      </x:c>
      <x:c r="B31" s="44" t="n">
        <x:v>46110.24097222222</x:v>
      </x:c>
      <x:c r="C31" s="10" t="inlineStr">
        <x:is>
          <x:t xml:space="preserve">UK</x:t>
        </x:is>
      </x:c>
      <x:c r="D31" s="8" t="inlineStr">
        <x:is>
          <x:t xml:space="preserve">User 030</x:t>
        </x:is>
      </x:c>
      <x:c r="E31" s="11" t="inlineStr">
        <x:is>
          <x:t xml:space="preserve">HR</x:t>
        </x:is>
      </x:c>
      <x:c r="F31" s="10" t="inlineStr">
        <x:is>
          <x:t xml:space="preserve">Email</x:t>
        </x:is>
      </x:c>
      <x:c r="G31" s="11" t="inlineStr">
        <x:is>
          <x:t xml:space="preserve">Software &amp; Application</x:t>
        </x:is>
      </x:c>
      <x:c r="H31" s="11" t="inlineStr">
        <x:is>
          <x:t xml:space="preserve">Update failure</x:t>
        </x:is>
      </x:c>
      <x:c r="I31" s="10" t="inlineStr">
        <x:is>
          <x:t xml:space="preserve">Low</x:t>
        </x:is>
      </x:c>
      <x:c r="J31" s="10" t="inlineStr">
        <x:is>
          <x:t xml:space="preserve">Resolved</x:t>
        </x:is>
      </x:c>
      <x:c r="K31" s="11" t="inlineStr">
        <x:is>
          <x:t xml:space="preserve">L1 Network Support</x:t>
        </x:is>
      </x:c>
      <x:c r="L31" s="10" t="inlineStr">
        <x:is>
          <x:t xml:space="preserve">Agent D</x:t>
        </x:is>
      </x:c>
      <x:c r="M31" s="12" t="n">
        <x:v>87</x:v>
      </x:c>
      <x:c r="N31" s="45" t="n">
        <x:v>28.8</x:v>
      </x:c>
      <x:c r="O31" s="12">
        <x:f>XLOOKUP(I31,SLA_Rules!$A$4:$A$7,SLA_Rules!$B$4:$B$7,"")</x:f>
        <x:v>24</x:v>
      </x:c>
      <x:c r="P31" s="12" t="str">
        <x:f>IF(J31&lt;&gt;"Resolved","Pending",IF(N31&lt;=O31,"Yes","No"))</x:f>
        <x:v>No</x:v>
      </x:c>
      <x:c r="Q31" s="10" t="inlineStr">
        <x:is>
          <x:t xml:space="preserve">Yes</x:t>
        </x:is>
      </x:c>
      <x:c r="R31" s="12" t="n">
        <x:v>5</x:v>
      </x:c>
      <x:c r="S31" s="11" t="inlineStr">
        <x:is>
          <x:t xml:space="preserve">Expired password</x:t>
        </x:is>
      </x:c>
      <x:c r="T31" s="5" t="inlineStr">
        <x:is>
          <x:t xml:space="preserve">Validated installation/configuration and completed application repair steps.</x:t>
        </x:is>
      </x:c>
      <x:c r="U31" s="44" t="n">
        <x:v>46111.44097222222</x:v>
      </x:c>
    </x:row>
    <x:row r="32">
      <x:c r="A32" s="8" t="inlineStr">
        <x:is>
          <x:t xml:space="preserve">INC-202603-0031</x:t>
        </x:is>
      </x:c>
      <x:c r="B32" s="44" t="n">
        <x:v>46092.45625</x:v>
      </x:c>
      <x:c r="C32" s="10" t="inlineStr">
        <x:is>
          <x:t xml:space="preserve">India</x:t>
        </x:is>
      </x:c>
      <x:c r="D32" s="8" t="inlineStr">
        <x:is>
          <x:t xml:space="preserve">User 031</x:t>
        </x:is>
      </x:c>
      <x:c r="E32" s="11" t="inlineStr">
        <x:is>
          <x:t xml:space="preserve">Internal Services</x:t>
        </x:is>
      </x:c>
      <x:c r="F32" s="10" t="inlineStr">
        <x:is>
          <x:t xml:space="preserve">Phone</x:t>
        </x:is>
      </x:c>
      <x:c r="G32" s="11" t="inlineStr">
        <x:is>
          <x:t xml:space="preserve">Hardware</x:t>
        </x:is>
      </x:c>
      <x:c r="H32" s="11" t="inlineStr">
        <x:is>
          <x:t xml:space="preserve">Blue screen</x:t>
        </x:is>
      </x:c>
      <x:c r="I32" s="10" t="inlineStr">
        <x:is>
          <x:t xml:space="preserve">Medium</x:t>
        </x:is>
      </x:c>
      <x:c r="J32" s="10" t="inlineStr">
        <x:is>
          <x:t xml:space="preserve">Resolved</x:t>
        </x:is>
      </x:c>
      <x:c r="K32" s="11" t="inlineStr">
        <x:is>
          <x:t xml:space="preserve">L1 Identity Support</x:t>
        </x:is>
      </x:c>
      <x:c r="L32" s="10" t="inlineStr">
        <x:is>
          <x:t xml:space="preserve">Agent C</x:t>
        </x:is>
      </x:c>
      <x:c r="M32" s="12" t="n">
        <x:v>41</x:v>
      </x:c>
      <x:c r="N32" s="45" t="n">
        <x:v>4.2</x:v>
      </x:c>
      <x:c r="O32" s="12">
        <x:f>XLOOKUP(I32,SLA_Rules!$A$4:$A$7,SLA_Rules!$B$4:$B$7,"")</x:f>
        <x:v>16</x:v>
      </x:c>
      <x:c r="P32" s="12" t="str">
        <x:f>IF(J32&lt;&gt;"Resolved","Pending",IF(N32&lt;=O32,"Yes","No"))</x:f>
        <x:v>Yes</x:v>
      </x:c>
      <x:c r="Q32" s="10" t="inlineStr">
        <x:is>
          <x:t xml:space="preserve">No</x:t>
        </x:is>
      </x:c>
      <x:c r="R32" s="12" t="n">
        <x:v>4</x:v>
      </x:c>
      <x:c r="S32" s="11" t="inlineStr">
        <x:is>
          <x:t xml:space="preserve">Configuration drift</x:t>
        </x:is>
      </x:c>
      <x:c r="T32" s="5" t="inlineStr">
        <x:is>
          <x:t xml:space="preserve">Ran endpoint checks and provided workaround or hardware escalation as needed.</x:t>
        </x:is>
      </x:c>
      <x:c r="U32" s="44" t="n">
        <x:v>46092.63125</x:v>
      </x:c>
    </x:row>
    <x:row r="33">
      <x:c r="A33" s="8" t="inlineStr">
        <x:is>
          <x:t xml:space="preserve">INC-202603-0032</x:t>
        </x:is>
      </x:c>
      <x:c r="B33" s="44" t="n">
        <x:v>46110.78055555555</x:v>
      </x:c>
      <x:c r="C33" s="10" t="inlineStr">
        <x:is>
          <x:t xml:space="preserve">US</x:t>
        </x:is>
      </x:c>
      <x:c r="D33" s="8" t="inlineStr">
        <x:is>
          <x:t xml:space="preserve">User 032</x:t>
        </x:is>
      </x:c>
      <x:c r="E33" s="11" t="inlineStr">
        <x:is>
          <x:t xml:space="preserve">Risk Advisory</x:t>
        </x:is>
      </x:c>
      <x:c r="F33" s="10" t="inlineStr">
        <x:is>
          <x:t xml:space="preserve">Email</x:t>
        </x:is>
      </x:c>
      <x:c r="G33" s="11" t="inlineStr">
        <x:is>
          <x:t xml:space="preserve">Software &amp; Application</x:t>
        </x:is>
      </x:c>
      <x:c r="H33" s="11" t="inlineStr">
        <x:is>
          <x:t xml:space="preserve">App crash</x:t>
        </x:is>
      </x:c>
      <x:c r="I33" s="10" t="inlineStr">
        <x:is>
          <x:t xml:space="preserve">Medium</x:t>
        </x:is>
      </x:c>
      <x:c r="J33" s="10" t="inlineStr">
        <x:is>
          <x:t xml:space="preserve">Resolved</x:t>
        </x:is>
      </x:c>
      <x:c r="K33" s="11" t="inlineStr">
        <x:is>
          <x:t xml:space="preserve">L1 Endpoint Support</x:t>
        </x:is>
      </x:c>
      <x:c r="L33" s="10" t="inlineStr">
        <x:is>
          <x:t xml:space="preserve">Agent D</x:t>
        </x:is>
      </x:c>
      <x:c r="M33" s="12" t="n">
        <x:v>60</x:v>
      </x:c>
      <x:c r="N33" s="45" t="n">
        <x:v>13.7</x:v>
      </x:c>
      <x:c r="O33" s="12">
        <x:f>XLOOKUP(I33,SLA_Rules!$A$4:$A$7,SLA_Rules!$B$4:$B$7,"")</x:f>
        <x:v>16</x:v>
      </x:c>
      <x:c r="P33" s="12" t="str">
        <x:f>IF(J33&lt;&gt;"Resolved","Pending",IF(N33&lt;=O33,"Yes","No"))</x:f>
        <x:v>Yes</x:v>
      </x:c>
      <x:c r="Q33" s="10" t="inlineStr">
        <x:is>
          <x:t xml:space="preserve">No</x:t>
        </x:is>
      </x:c>
      <x:c r="R33" s="12" t="n">
        <x:v>5</x:v>
      </x:c>
      <x:c r="S33" s="11" t="inlineStr">
        <x:is>
          <x:t xml:space="preserve">Application cache</x:t>
        </x:is>
      </x:c>
      <x:c r="T33" s="5" t="inlineStr">
        <x:is>
          <x:t xml:space="preserve">Validated installation/configuration and completed application repair steps.</x:t>
        </x:is>
      </x:c>
      <x:c r="U33" s="44" t="n">
        <x:v>46111.35138888889</x:v>
      </x:c>
    </x:row>
    <x:row r="34">
      <x:c r="A34" s="8" t="inlineStr">
        <x:is>
          <x:t xml:space="preserve">INC-202603-0033</x:t>
        </x:is>
      </x:c>
      <x:c r="B34" s="44" t="n">
        <x:v>46090.56319444445</x:v>
      </x:c>
      <x:c r="C34" s="10" t="inlineStr">
        <x:is>
          <x:t xml:space="preserve">UK</x:t>
        </x:is>
      </x:c>
      <x:c r="D34" s="8" t="inlineStr">
        <x:is>
          <x:t xml:space="preserve">User 033</x:t>
        </x:is>
      </x:c>
      <x:c r="E34" s="11" t="inlineStr">
        <x:is>
          <x:t xml:space="preserve">Risk Advisory</x:t>
        </x:is>
      </x:c>
      <x:c r="F34" s="10" t="inlineStr">
        <x:is>
          <x:t xml:space="preserve">Chat</x:t>
        </x:is>
      </x:c>
      <x:c r="G34" s="11" t="inlineStr">
        <x:is>
          <x:t xml:space="preserve">Email &amp; Outlook</x:t>
        </x:is>
      </x:c>
      <x:c r="H34" s="11" t="inlineStr">
        <x:is>
          <x:t xml:space="preserve">Calendar invite issue</x:t>
        </x:is>
      </x:c>
      <x:c r="I34" s="10" t="inlineStr">
        <x:is>
          <x:t xml:space="preserve">Low</x:t>
        </x:is>
      </x:c>
      <x:c r="J34" s="10" t="inlineStr">
        <x:is>
          <x:t xml:space="preserve">Resolved</x:t>
        </x:is>
      </x:c>
      <x:c r="K34" s="11" t="inlineStr">
        <x:is>
          <x:t xml:space="preserve">L1 Endpoint Support</x:t>
        </x:is>
      </x:c>
      <x:c r="L34" s="10" t="inlineStr">
        <x:is>
          <x:t xml:space="preserve">Agent B</x:t>
        </x:is>
      </x:c>
      <x:c r="M34" s="12" t="n">
        <x:v>127</x:v>
      </x:c>
      <x:c r="N34" s="45" t="n">
        <x:v>10.1</x:v>
      </x:c>
      <x:c r="O34" s="12">
        <x:f>XLOOKUP(I34,SLA_Rules!$A$4:$A$7,SLA_Rules!$B$4:$B$7,"")</x:f>
        <x:v>24</x:v>
      </x:c>
      <x:c r="P34" s="12" t="str">
        <x:f>IF(J34&lt;&gt;"Resolved","Pending",IF(N34&lt;=O34,"Yes","No"))</x:f>
        <x:v>Yes</x:v>
      </x:c>
      <x:c r="Q34" s="10" t="inlineStr">
        <x:is>
          <x:t xml:space="preserve">No</x:t>
        </x:is>
      </x:c>
      <x:c r="R34" s="12" t="n">
        <x:v>5</x:v>
      </x:c>
      <x:c r="S34" s="11" t="inlineStr">
        <x:is>
          <x:t xml:space="preserve">Permission mismatch</x:t>
        </x:is>
      </x:c>
      <x:c r="T34" s="5" t="inlineStr">
        <x:is>
          <x:t xml:space="preserve">Cleared profile/cache and validated mailbox connectivity with user.</x:t>
        </x:is>
      </x:c>
      <x:c r="U34" s="44" t="n">
        <x:v>46090.98402777778</x:v>
      </x:c>
    </x:row>
    <x:row r="35">
      <x:c r="A35" s="8" t="inlineStr">
        <x:is>
          <x:t xml:space="preserve">INC-202603-0034</x:t>
        </x:is>
      </x:c>
      <x:c r="B35" s="44" t="n">
        <x:v>46096.21041666667</x:v>
      </x:c>
      <x:c r="C35" s="10" t="inlineStr">
        <x:is>
          <x:t xml:space="preserve">UK</x:t>
        </x:is>
      </x:c>
      <x:c r="D35" s="8" t="inlineStr">
        <x:is>
          <x:t xml:space="preserve">User 034</x:t>
        </x:is>
      </x:c>
      <x:c r="E35" s="11" t="inlineStr">
        <x:is>
          <x:t xml:space="preserve">HR</x:t>
        </x:is>
      </x:c>
      <x:c r="F35" s="10" t="inlineStr">
        <x:is>
          <x:t xml:space="preserve">Phone</x:t>
        </x:is>
      </x:c>
      <x:c r="G35" s="11" t="inlineStr">
        <x:is>
          <x:t xml:space="preserve">Password Reset</x:t>
        </x:is>
      </x:c>
      <x:c r="H35" s="11" t="inlineStr">
        <x:is>
          <x:t xml:space="preserve">Password expired</x:t>
        </x:is>
      </x:c>
      <x:c r="I35" s="10" t="inlineStr">
        <x:is>
          <x:t xml:space="preserve">Low</x:t>
        </x:is>
      </x:c>
      <x:c r="J35" s="10" t="inlineStr">
        <x:is>
          <x:t xml:space="preserve">Resolved</x:t>
        </x:is>
      </x:c>
      <x:c r="K35" s="11" t="inlineStr">
        <x:is>
          <x:t xml:space="preserve">L1 Global Service Desk</x:t>
        </x:is>
      </x:c>
      <x:c r="L35" s="10" t="inlineStr">
        <x:is>
          <x:t xml:space="preserve">Agent G</x:t>
        </x:is>
      </x:c>
      <x:c r="M35" s="12" t="n">
        <x:v>140</x:v>
      </x:c>
      <x:c r="N35" s="45" t="n">
        <x:v>9.9</x:v>
      </x:c>
      <x:c r="O35" s="12">
        <x:f>XLOOKUP(I35,SLA_Rules!$A$4:$A$7,SLA_Rules!$B$4:$B$7,"")</x:f>
        <x:v>24</x:v>
      </x:c>
      <x:c r="P35" s="12" t="str">
        <x:f>IF(J35&lt;&gt;"Resolved","Pending",IF(N35&lt;=O35,"Yes","No"))</x:f>
        <x:v>Yes</x:v>
      </x:c>
      <x:c r="Q35" s="10" t="inlineStr">
        <x:is>
          <x:t xml:space="preserve">No</x:t>
        </x:is>
      </x:c>
      <x:c r="R35" s="12" t="n">
        <x:v>4</x:v>
      </x:c>
      <x:c r="S35" s="11" t="inlineStr">
        <x:is>
          <x:t xml:space="preserve">Pending update</x:t>
        </x:is>
      </x:c>
      <x:c r="T35" s="5" t="inlineStr">
        <x:is>
          <x:t xml:space="preserve">Completed identity validation and processed password reset successfully.</x:t>
        </x:is>
      </x:c>
      <x:c r="U35" s="44" t="n">
        <x:v>46096.62291666667</x:v>
      </x:c>
    </x:row>
    <x:row r="36">
      <x:c r="A36" s="8" t="inlineStr">
        <x:is>
          <x:t xml:space="preserve">INC-202603-0035</x:t>
        </x:is>
      </x:c>
      <x:c r="B36" s="44" t="n">
        <x:v>46102.11736111111</x:v>
      </x:c>
      <x:c r="C36" s="10" t="inlineStr">
        <x:is>
          <x:t xml:space="preserve">US</x:t>
        </x:is>
      </x:c>
      <x:c r="D36" s="8" t="inlineStr">
        <x:is>
          <x:t xml:space="preserve">User 035</x:t>
        </x:is>
      </x:c>
      <x:c r="E36" s="11" t="inlineStr">
        <x:is>
          <x:t xml:space="preserve">Audit</x:t>
        </x:is>
      </x:c>
      <x:c r="F36" s="10" t="inlineStr">
        <x:is>
          <x:t xml:space="preserve">Chat</x:t>
        </x:is>
      </x:c>
      <x:c r="G36" s="11" t="inlineStr">
        <x:is>
          <x:t xml:space="preserve">Email &amp; Outlook</x:t>
        </x:is>
      </x:c>
      <x:c r="H36" s="11" t="inlineStr">
        <x:is>
          <x:t xml:space="preserve">Calendar invite issue</x:t>
        </x:is>
      </x:c>
      <x:c r="I36" s="10" t="inlineStr">
        <x:is>
          <x:t xml:space="preserve">Low</x:t>
        </x:is>
      </x:c>
      <x:c r="J36" s="10" t="inlineStr">
        <x:is>
          <x:t xml:space="preserve">Resolved</x:t>
        </x:is>
      </x:c>
      <x:c r="K36" s="11" t="inlineStr">
        <x:is>
          <x:t xml:space="preserve">L1 Messaging Support</x:t>
        </x:is>
      </x:c>
      <x:c r="L36" s="10" t="inlineStr">
        <x:is>
          <x:t xml:space="preserve">Agent B</x:t>
        </x:is>
      </x:c>
      <x:c r="M36" s="12" t="n">
        <x:v>31</x:v>
      </x:c>
      <x:c r="N36" s="45" t="n">
        <x:v>28.8</x:v>
      </x:c>
      <x:c r="O36" s="12">
        <x:f>XLOOKUP(I36,SLA_Rules!$A$4:$A$7,SLA_Rules!$B$4:$B$7,"")</x:f>
        <x:v>24</x:v>
      </x:c>
      <x:c r="P36" s="12" t="str">
        <x:f>IF(J36&lt;&gt;"Resolved","Pending",IF(N36&lt;=O36,"Yes","No"))</x:f>
        <x:v>No</x:v>
      </x:c>
      <x:c r="Q36" s="10" t="inlineStr">
        <x:is>
          <x:t xml:space="preserve">Yes</x:t>
        </x:is>
      </x:c>
      <x:c r="R36" s="12" t="n">
        <x:v>5</x:v>
      </x:c>
      <x:c r="S36" s="11" t="inlineStr">
        <x:is>
          <x:t xml:space="preserve">Network instability</x:t>
        </x:is>
      </x:c>
      <x:c r="T36" s="5" t="inlineStr">
        <x:is>
          <x:t xml:space="preserve">Cleared profile/cache and validated mailbox connectivity with user.</x:t>
        </x:is>
      </x:c>
      <x:c r="U36" s="44" t="n">
        <x:v>46103.31736111111</x:v>
      </x:c>
    </x:row>
    <x:row r="37">
      <x:c r="A37" s="8" t="inlineStr">
        <x:is>
          <x:t xml:space="preserve">INC-202603-0036</x:t>
        </x:is>
      </x:c>
      <x:c r="B37" s="44" t="n">
        <x:v>46090.46527777778</x:v>
      </x:c>
      <x:c r="C37" s="10" t="inlineStr">
        <x:is>
          <x:t xml:space="preserve">US</x:t>
        </x:is>
      </x:c>
      <x:c r="D37" s="8" t="inlineStr">
        <x:is>
          <x:t xml:space="preserve">User 036</x:t>
        </x:is>
      </x:c>
      <x:c r="E37" s="11" t="inlineStr">
        <x:is>
          <x:t xml:space="preserve">Risk Advisory</x:t>
        </x:is>
      </x:c>
      <x:c r="F37" s="10" t="inlineStr">
        <x:is>
          <x:t xml:space="preserve">Phone</x:t>
        </x:is>
      </x:c>
      <x:c r="G37" s="11" t="inlineStr">
        <x:is>
          <x:t xml:space="preserve">Hardware</x:t>
        </x:is>
      </x:c>
      <x:c r="H37" s="11" t="inlineStr">
        <x:is>
          <x:t xml:space="preserve">Blue screen</x:t>
        </x:is>
      </x:c>
      <x:c r="I37" s="10" t="inlineStr">
        <x:is>
          <x:t xml:space="preserve">Low</x:t>
        </x:is>
      </x:c>
      <x:c r="J37" s="10" t="inlineStr">
        <x:is>
          <x:t xml:space="preserve">Resolved</x:t>
        </x:is>
      </x:c>
      <x:c r="K37" s="11" t="inlineStr">
        <x:is>
          <x:t xml:space="preserve">L1 Endpoint Support</x:t>
        </x:is>
      </x:c>
      <x:c r="L37" s="10" t="inlineStr">
        <x:is>
          <x:t xml:space="preserve">Agent F</x:t>
        </x:is>
      </x:c>
      <x:c r="M37" s="12" t="n">
        <x:v>53</x:v>
      </x:c>
      <x:c r="N37" s="45" t="n">
        <x:v>22.1</x:v>
      </x:c>
      <x:c r="O37" s="12">
        <x:f>XLOOKUP(I37,SLA_Rules!$A$4:$A$7,SLA_Rules!$B$4:$B$7,"")</x:f>
        <x:v>24</x:v>
      </x:c>
      <x:c r="P37" s="12" t="str">
        <x:f>IF(J37&lt;&gt;"Resolved","Pending",IF(N37&lt;=O37,"Yes","No"))</x:f>
        <x:v>Yes</x:v>
      </x:c>
      <x:c r="Q37" s="10" t="inlineStr">
        <x:is>
          <x:t xml:space="preserve">No</x:t>
        </x:is>
      </x:c>
      <x:c r="R37" s="12" t="n">
        <x:v>5</x:v>
      </x:c>
      <x:c r="S37" s="11" t="inlineStr">
        <x:is>
          <x:t xml:space="preserve">Configuration drift</x:t>
        </x:is>
      </x:c>
      <x:c r="T37" s="5" t="inlineStr">
        <x:is>
          <x:t xml:space="preserve">Ran endpoint checks and provided workaround or hardware escalation as needed.</x:t>
        </x:is>
      </x:c>
      <x:c r="U37" s="44" t="n">
        <x:v>46091.38611111111</x:v>
      </x:c>
    </x:row>
    <x:row r="38">
      <x:c r="A38" s="8" t="inlineStr">
        <x:is>
          <x:t xml:space="preserve">INC-202603-0037</x:t>
        </x:is>
      </x:c>
      <x:c r="B38" s="44" t="n">
        <x:v>46088.10902777778</x:v>
      </x:c>
      <x:c r="C38" s="10" t="inlineStr">
        <x:is>
          <x:t xml:space="preserve">US</x:t>
        </x:is>
      </x:c>
      <x:c r="D38" s="8" t="inlineStr">
        <x:is>
          <x:t xml:space="preserve">User 037</x:t>
        </x:is>
      </x:c>
      <x:c r="E38" s="11" t="inlineStr">
        <x:is>
          <x:t xml:space="preserve">HR</x:t>
        </x:is>
      </x:c>
      <x:c r="F38" s="10" t="inlineStr">
        <x:is>
          <x:t xml:space="preserve">Web Ticket</x:t>
        </x:is>
      </x:c>
      <x:c r="G38" s="11" t="inlineStr">
        <x:is>
          <x:t xml:space="preserve">Printer &amp; Peripheral</x:t>
        </x:is>
      </x:c>
      <x:c r="H38" s="11" t="inlineStr">
        <x:is>
          <x:t xml:space="preserve">Printer offline</x:t>
        </x:is>
      </x:c>
      <x:c r="I38" s="10" t="inlineStr">
        <x:is>
          <x:t xml:space="preserve">Low</x:t>
        </x:is>
      </x:c>
      <x:c r="J38" s="10" t="inlineStr">
        <x:is>
          <x:t xml:space="preserve">Open</x:t>
        </x:is>
      </x:c>
      <x:c r="K38" s="11" t="inlineStr">
        <x:is>
          <x:t xml:space="preserve">L1 Endpoint Support</x:t>
        </x:is>
      </x:c>
      <x:c r="L38" s="10" t="inlineStr">
        <x:is>
          <x:t xml:space="preserve">Agent F</x:t>
        </x:is>
      </x:c>
      <x:c r="M38" s="12" t="n">
        <x:v>98</x:v>
      </x:c>
      <x:c r="N38" s="12" t="n"/>
      <x:c r="O38" s="12">
        <x:f>XLOOKUP(I38,SLA_Rules!$A$4:$A$7,SLA_Rules!$B$4:$B$7,"")</x:f>
        <x:v>24</x:v>
      </x:c>
      <x:c r="P38" s="12" t="str">
        <x:f>IF(J38&lt;&gt;"Resolved","Pending",IF(N38&lt;=O38,"Yes","No"))</x:f>
        <x:v>Pending</x:v>
      </x:c>
      <x:c r="Q38" s="10" t="inlineStr">
        <x:is>
          <x:t xml:space="preserve">Yes</x:t>
        </x:is>
      </x:c>
      <x:c r="R38" s="12" t="n"/>
      <x:c r="S38" s="11" t="inlineStr">
        <x:is>
          <x:t xml:space="preserve">Expired password</x:t>
        </x:is>
      </x:c>
      <x:c r="T38" s="5" t="inlineStr">
        <x:is>
          <x:t xml:space="preserve">Remapped device/driver and confirmed successful test output.</x:t>
        </x:is>
      </x:c>
      <x:c r="U38" s="8" t="n"/>
    </x:row>
    <x:row r="39">
      <x:c r="A39" s="8" t="inlineStr">
        <x:is>
          <x:t xml:space="preserve">INC-202603-0038</x:t>
        </x:is>
      </x:c>
      <x:c r="B39" s="44" t="n">
        <x:v>46095.62916666667</x:v>
      </x:c>
      <x:c r="C39" s="10" t="inlineStr">
        <x:is>
          <x:t xml:space="preserve">US</x:t>
        </x:is>
      </x:c>
      <x:c r="D39" s="8" t="inlineStr">
        <x:is>
          <x:t xml:space="preserve">User 038</x:t>
        </x:is>
      </x:c>
      <x:c r="E39" s="11" t="inlineStr">
        <x:is>
          <x:t xml:space="preserve">Finance</x:t>
        </x:is>
      </x:c>
      <x:c r="F39" s="10" t="inlineStr">
        <x:is>
          <x:t xml:space="preserve">Phone</x:t>
        </x:is>
      </x:c>
      <x:c r="G39" s="11" t="inlineStr">
        <x:is>
          <x:t xml:space="preserve">Password Reset</x:t>
        </x:is>
      </x:c>
      <x:c r="H39" s="11" t="inlineStr">
        <x:is>
          <x:t xml:space="preserve">Password expired</x:t>
        </x:is>
      </x:c>
      <x:c r="I39" s="10" t="inlineStr">
        <x:is>
          <x:t xml:space="preserve">Low</x:t>
        </x:is>
      </x:c>
      <x:c r="J39" s="10" t="inlineStr">
        <x:is>
          <x:t xml:space="preserve">Resolved</x:t>
        </x:is>
      </x:c>
      <x:c r="K39" s="11" t="inlineStr">
        <x:is>
          <x:t xml:space="preserve">L1 Global Service Desk</x:t>
        </x:is>
      </x:c>
      <x:c r="L39" s="10" t="inlineStr">
        <x:is>
          <x:t xml:space="preserve">Agent G</x:t>
        </x:is>
      </x:c>
      <x:c r="M39" s="12" t="n">
        <x:v>141</x:v>
      </x:c>
      <x:c r="N39" s="45" t="n">
        <x:v>10.6</x:v>
      </x:c>
      <x:c r="O39" s="12">
        <x:f>XLOOKUP(I39,SLA_Rules!$A$4:$A$7,SLA_Rules!$B$4:$B$7,"")</x:f>
        <x:v>24</x:v>
      </x:c>
      <x:c r="P39" s="12" t="str">
        <x:f>IF(J39&lt;&gt;"Resolved","Pending",IF(N39&lt;=O39,"Yes","No"))</x:f>
        <x:v>Yes</x:v>
      </x:c>
      <x:c r="Q39" s="10" t="inlineStr">
        <x:is>
          <x:t xml:space="preserve">No</x:t>
        </x:is>
      </x:c>
      <x:c r="R39" s="12" t="n">
        <x:v>5</x:v>
      </x:c>
      <x:c r="S39" s="11" t="inlineStr">
        <x:is>
          <x:t xml:space="preserve">Pending update</x:t>
        </x:is>
      </x:c>
      <x:c r="T39" s="5" t="inlineStr">
        <x:is>
          <x:t xml:space="preserve">Completed identity validation and processed password reset successfully.</x:t>
        </x:is>
      </x:c>
      <x:c r="U39" s="44" t="n">
        <x:v>46096.07083333333</x:v>
      </x:c>
    </x:row>
    <x:row r="40">
      <x:c r="A40" s="8" t="inlineStr">
        <x:is>
          <x:t xml:space="preserve">INC-202603-0039</x:t>
        </x:is>
      </x:c>
      <x:c r="B40" s="44" t="n">
        <x:v>46105.76180555556</x:v>
      </x:c>
      <x:c r="C40" s="10" t="inlineStr">
        <x:is>
          <x:t xml:space="preserve">APAC</x:t>
        </x:is>
      </x:c>
      <x:c r="D40" s="8" t="inlineStr">
        <x:is>
          <x:t xml:space="preserve">User 039</x:t>
        </x:is>
      </x:c>
      <x:c r="E40" s="11" t="inlineStr">
        <x:is>
          <x:t xml:space="preserve">Operations</x:t>
        </x:is>
      </x:c>
      <x:c r="F40" s="10" t="inlineStr">
        <x:is>
          <x:t xml:space="preserve">Chat</x:t>
        </x:is>
      </x:c>
      <x:c r="G40" s="11" t="inlineStr">
        <x:is>
          <x:t xml:space="preserve">Login &amp; Access</x:t>
        </x:is>
      </x:c>
      <x:c r="H40" s="11" t="inlineStr">
        <x:is>
          <x:t xml:space="preserve">Shared drive permission</x:t>
        </x:is>
      </x:c>
      <x:c r="I40" s="10" t="inlineStr">
        <x:is>
          <x:t xml:space="preserve">Medium</x:t>
        </x:is>
      </x:c>
      <x:c r="J40" s="10" t="inlineStr">
        <x:is>
          <x:t xml:space="preserve">Resolved</x:t>
        </x:is>
      </x:c>
      <x:c r="K40" s="11" t="inlineStr">
        <x:is>
          <x:t xml:space="preserve">L1 Identity Support</x:t>
        </x:is>
      </x:c>
      <x:c r="L40" s="10" t="inlineStr">
        <x:is>
          <x:t xml:space="preserve">Agent G</x:t>
        </x:is>
      </x:c>
      <x:c r="M40" s="12" t="n">
        <x:v>23</x:v>
      </x:c>
      <x:c r="N40" s="45" t="n">
        <x:v>5.5</x:v>
      </x:c>
      <x:c r="O40" s="12">
        <x:f>XLOOKUP(I40,SLA_Rules!$A$4:$A$7,SLA_Rules!$B$4:$B$7,"")</x:f>
        <x:v>16</x:v>
      </x:c>
      <x:c r="P40" s="12" t="str">
        <x:f>IF(J40&lt;&gt;"Resolved","Pending",IF(N40&lt;=O40,"Yes","No"))</x:f>
        <x:v>Yes</x:v>
      </x:c>
      <x:c r="Q40" s="10" t="inlineStr">
        <x:is>
          <x:t xml:space="preserve">No</x:t>
        </x:is>
      </x:c>
      <x:c r="R40" s="12" t="n">
        <x:v>4</x:v>
      </x:c>
      <x:c r="S40" s="11" t="inlineStr">
        <x:is>
          <x:t xml:space="preserve">Permission mismatch</x:t>
        </x:is>
      </x:c>
      <x:c r="T40" s="5" t="inlineStr">
        <x:is>
          <x:t xml:space="preserve">Validated identity, restored access path, and confirmed successful login.</x:t>
        </x:is>
      </x:c>
      <x:c r="U40" s="44" t="n">
        <x:v>46105.99097222222</x:v>
      </x:c>
    </x:row>
    <x:row r="41">
      <x:c r="A41" s="8" t="inlineStr">
        <x:is>
          <x:t xml:space="preserve">INC-202603-0040</x:t>
        </x:is>
      </x:c>
      <x:c r="B41" s="44" t="n">
        <x:v>46088.49375</x:v>
      </x:c>
      <x:c r="C41" s="10" t="inlineStr">
        <x:is>
          <x:t xml:space="preserve">US</x:t>
        </x:is>
      </x:c>
      <x:c r="D41" s="8" t="inlineStr">
        <x:is>
          <x:t xml:space="preserve">User 040</x:t>
        </x:is>
      </x:c>
      <x:c r="E41" s="11" t="inlineStr">
        <x:is>
          <x:t xml:space="preserve">Finance</x:t>
        </x:is>
      </x:c>
      <x:c r="F41" s="10" t="inlineStr">
        <x:is>
          <x:t xml:space="preserve">Phone</x:t>
        </x:is>
      </x:c>
      <x:c r="G41" s="11" t="inlineStr">
        <x:is>
          <x:t xml:space="preserve">Email &amp; Outlook</x:t>
        </x:is>
      </x:c>
      <x:c r="H41" s="11" t="inlineStr">
        <x:is>
          <x:t xml:space="preserve">Calendar invite issue</x:t>
        </x:is>
      </x:c>
      <x:c r="I41" s="10" t="inlineStr">
        <x:is>
          <x:t xml:space="preserve">Low</x:t>
        </x:is>
      </x:c>
      <x:c r="J41" s="10" t="inlineStr">
        <x:is>
          <x:t xml:space="preserve">Resolved</x:t>
        </x:is>
      </x:c>
      <x:c r="K41" s="11" t="inlineStr">
        <x:is>
          <x:t xml:space="preserve">L1 Identity Support</x:t>
        </x:is>
      </x:c>
      <x:c r="L41" s="10" t="inlineStr">
        <x:is>
          <x:t xml:space="preserve">Agent D</x:t>
        </x:is>
      </x:c>
      <x:c r="M41" s="12" t="n">
        <x:v>94</x:v>
      </x:c>
      <x:c r="N41" s="45" t="n">
        <x:v>9</x:v>
      </x:c>
      <x:c r="O41" s="12">
        <x:f>XLOOKUP(I41,SLA_Rules!$A$4:$A$7,SLA_Rules!$B$4:$B$7,"")</x:f>
        <x:v>24</x:v>
      </x:c>
      <x:c r="P41" s="12" t="str">
        <x:f>IF(J41&lt;&gt;"Resolved","Pending",IF(N41&lt;=O41,"Yes","No"))</x:f>
        <x:v>Yes</x:v>
      </x:c>
      <x:c r="Q41" s="10" t="inlineStr">
        <x:is>
          <x:t xml:space="preserve">No</x:t>
        </x:is>
      </x:c>
      <x:c r="R41" s="12" t="n">
        <x:v>5</x:v>
      </x:c>
      <x:c r="S41" s="11" t="inlineStr">
        <x:is>
          <x:t xml:space="preserve">Driver problem</x:t>
        </x:is>
      </x:c>
      <x:c r="T41" s="5" t="inlineStr">
        <x:is>
          <x:t xml:space="preserve">Cleared profile/cache and validated mailbox connectivity with user.</x:t>
        </x:is>
      </x:c>
      <x:c r="U41" s="44" t="n">
        <x:v>46088.86875</x:v>
      </x:c>
    </x:row>
    <x:row r="42">
      <x:c r="A42" s="8" t="inlineStr">
        <x:is>
          <x:t xml:space="preserve">INC-202603-0041</x:t>
        </x:is>
      </x:c>
      <x:c r="B42" s="44" t="n">
        <x:v>46107.00347222222</x:v>
      </x:c>
      <x:c r="C42" s="10" t="inlineStr">
        <x:is>
          <x:t xml:space="preserve">US</x:t>
        </x:is>
      </x:c>
      <x:c r="D42" s="8" t="inlineStr">
        <x:is>
          <x:t xml:space="preserve">User 041</x:t>
        </x:is>
      </x:c>
      <x:c r="E42" s="11" t="inlineStr">
        <x:is>
          <x:t xml:space="preserve">Operations</x:t>
        </x:is>
      </x:c>
      <x:c r="F42" s="10" t="inlineStr">
        <x:is>
          <x:t xml:space="preserve">Chat</x:t>
        </x:is>
      </x:c>
      <x:c r="G42" s="11" t="inlineStr">
        <x:is>
          <x:t xml:space="preserve">Printer &amp; Peripheral</x:t>
        </x:is>
      </x:c>
      <x:c r="H42" s="11" t="inlineStr">
        <x:is>
          <x:t xml:space="preserve">Printer offline</x:t>
        </x:is>
      </x:c>
      <x:c r="I42" s="10" t="inlineStr">
        <x:is>
          <x:t xml:space="preserve">Low</x:t>
        </x:is>
      </x:c>
      <x:c r="J42" s="10" t="inlineStr">
        <x:is>
          <x:t xml:space="preserve">Resolved</x:t>
        </x:is>
      </x:c>
      <x:c r="K42" s="11" t="inlineStr">
        <x:is>
          <x:t xml:space="preserve">L1 Endpoint Support</x:t>
        </x:is>
      </x:c>
      <x:c r="L42" s="10" t="inlineStr">
        <x:is>
          <x:t xml:space="preserve">Agent D</x:t>
        </x:is>
      </x:c>
      <x:c r="M42" s="12" t="n">
        <x:v>86</x:v>
      </x:c>
      <x:c r="N42" s="45" t="n">
        <x:v>11.4</x:v>
      </x:c>
      <x:c r="O42" s="12">
        <x:f>XLOOKUP(I42,SLA_Rules!$A$4:$A$7,SLA_Rules!$B$4:$B$7,"")</x:f>
        <x:v>24</x:v>
      </x:c>
      <x:c r="P42" s="12" t="str">
        <x:f>IF(J42&lt;&gt;"Resolved","Pending",IF(N42&lt;=O42,"Yes","No"))</x:f>
        <x:v>Yes</x:v>
      </x:c>
      <x:c r="Q42" s="10" t="inlineStr">
        <x:is>
          <x:t xml:space="preserve">No</x:t>
        </x:is>
      </x:c>
      <x:c r="R42" s="12" t="n">
        <x:v>4</x:v>
      </x:c>
      <x:c r="S42" s="11" t="inlineStr">
        <x:is>
          <x:t xml:space="preserve">Policy enforcement</x:t>
        </x:is>
      </x:c>
      <x:c r="T42" s="5" t="inlineStr">
        <x:is>
          <x:t xml:space="preserve">Remapped device/driver and confirmed successful test output.</x:t>
        </x:is>
      </x:c>
      <x:c r="U42" s="44" t="n">
        <x:v>46107.47847222222</x:v>
      </x:c>
    </x:row>
    <x:row r="43">
      <x:c r="A43" s="8" t="inlineStr">
        <x:is>
          <x:t xml:space="preserve">INC-202603-0042</x:t>
        </x:is>
      </x:c>
      <x:c r="B43" s="44" t="n">
        <x:v>46091.34305555555</x:v>
      </x:c>
      <x:c r="C43" s="10" t="inlineStr">
        <x:is>
          <x:t xml:space="preserve">APAC</x:t>
        </x:is>
      </x:c>
      <x:c r="D43" s="8" t="inlineStr">
        <x:is>
          <x:t xml:space="preserve">User 042</x:t>
        </x:is>
      </x:c>
      <x:c r="E43" s="11" t="inlineStr">
        <x:is>
          <x:t xml:space="preserve">Finance</x:t>
        </x:is>
      </x:c>
      <x:c r="F43" s="10" t="inlineStr">
        <x:is>
          <x:t xml:space="preserve">Email</x:t>
        </x:is>
      </x:c>
      <x:c r="G43" s="11" t="inlineStr">
        <x:is>
          <x:t xml:space="preserve">Email &amp; Outlook</x:t>
        </x:is>
      </x:c>
      <x:c r="H43" s="11" t="inlineStr">
        <x:is>
          <x:t xml:space="preserve">Search not working</x:t>
        </x:is>
      </x:c>
      <x:c r="I43" s="10" t="inlineStr">
        <x:is>
          <x:t xml:space="preserve">Low</x:t>
        </x:is>
      </x:c>
      <x:c r="J43" s="10" t="inlineStr">
        <x:is>
          <x:t xml:space="preserve">Resolved</x:t>
        </x:is>
      </x:c>
      <x:c r="K43" s="11" t="inlineStr">
        <x:is>
          <x:t xml:space="preserve">L1 Endpoint Support</x:t>
        </x:is>
      </x:c>
      <x:c r="L43" s="10" t="inlineStr">
        <x:is>
          <x:t xml:space="preserve">Agent C</x:t>
        </x:is>
      </x:c>
      <x:c r="M43" s="12" t="n">
        <x:v>54</x:v>
      </x:c>
      <x:c r="N43" s="45" t="n">
        <x:v>7.3</x:v>
      </x:c>
      <x:c r="O43" s="12">
        <x:f>XLOOKUP(I43,SLA_Rules!$A$4:$A$7,SLA_Rules!$B$4:$B$7,"")</x:f>
        <x:v>24</x:v>
      </x:c>
      <x:c r="P43" s="12" t="str">
        <x:f>IF(J43&lt;&gt;"Resolved","Pending",IF(N43&lt;=O43,"Yes","No"))</x:f>
        <x:v>Yes</x:v>
      </x:c>
      <x:c r="Q43" s="10" t="inlineStr">
        <x:is>
          <x:t xml:space="preserve">No</x:t>
        </x:is>
      </x:c>
      <x:c r="R43" s="12" t="n">
        <x:v>5</x:v>
      </x:c>
      <x:c r="S43" s="11" t="inlineStr">
        <x:is>
          <x:t xml:space="preserve">Configuration drift</x:t>
        </x:is>
      </x:c>
      <x:c r="T43" s="5" t="inlineStr">
        <x:is>
          <x:t xml:space="preserve">Cleared profile/cache and validated mailbox connectivity with user.</x:t>
        </x:is>
      </x:c>
      <x:c r="U43" s="44" t="n">
        <x:v>46091.64722222222</x:v>
      </x:c>
    </x:row>
    <x:row r="44">
      <x:c r="A44" s="8" t="inlineStr">
        <x:is>
          <x:t xml:space="preserve">INC-202603-0043</x:t>
        </x:is>
      </x:c>
      <x:c r="B44" s="44" t="n">
        <x:v>46088.38472222222</x:v>
      </x:c>
      <x:c r="C44" s="10" t="inlineStr">
        <x:is>
          <x:t xml:space="preserve">APAC</x:t>
        </x:is>
      </x:c>
      <x:c r="D44" s="8" t="inlineStr">
        <x:is>
          <x:t xml:space="preserve">User 043</x:t>
        </x:is>
      </x:c>
      <x:c r="E44" s="11" t="inlineStr">
        <x:is>
          <x:t xml:space="preserve">Internal Services</x:t>
        </x:is>
      </x:c>
      <x:c r="F44" s="10" t="inlineStr">
        <x:is>
          <x:t xml:space="preserve">Email</x:t>
        </x:is>
      </x:c>
      <x:c r="G44" s="11" t="inlineStr">
        <x:is>
          <x:t xml:space="preserve">Login &amp; Access</x:t>
        </x:is>
      </x:c>
      <x:c r="H44" s="11" t="inlineStr">
        <x:is>
          <x:t xml:space="preserve">Access denied</x:t>
        </x:is>
      </x:c>
      <x:c r="I44" s="10" t="inlineStr">
        <x:is>
          <x:t xml:space="preserve">Medium</x:t>
        </x:is>
      </x:c>
      <x:c r="J44" s="10" t="inlineStr">
        <x:is>
          <x:t xml:space="preserve">Resolved</x:t>
        </x:is>
      </x:c>
      <x:c r="K44" s="11" t="inlineStr">
        <x:is>
          <x:t xml:space="preserve">L1 Global Service Desk</x:t>
        </x:is>
      </x:c>
      <x:c r="L44" s="10" t="inlineStr">
        <x:is>
          <x:t xml:space="preserve">Agent G</x:t>
        </x:is>
      </x:c>
      <x:c r="M44" s="12" t="n">
        <x:v>28</x:v>
      </x:c>
      <x:c r="N44" s="45" t="n">
        <x:v>6.3</x:v>
      </x:c>
      <x:c r="O44" s="12">
        <x:f>XLOOKUP(I44,SLA_Rules!$A$4:$A$7,SLA_Rules!$B$4:$B$7,"")</x:f>
        <x:v>16</x:v>
      </x:c>
      <x:c r="P44" s="12" t="str">
        <x:f>IF(J44&lt;&gt;"Resolved","Pending",IF(N44&lt;=O44,"Yes","No"))</x:f>
        <x:v>Yes</x:v>
      </x:c>
      <x:c r="Q44" s="10" t="inlineStr">
        <x:is>
          <x:t xml:space="preserve">No</x:t>
        </x:is>
      </x:c>
      <x:c r="R44" s="12" t="n">
        <x:v>4</x:v>
      </x:c>
      <x:c r="S44" s="11" t="inlineStr">
        <x:is>
          <x:t xml:space="preserve">User error</x:t>
        </x:is>
      </x:c>
      <x:c r="T44" s="5" t="inlineStr">
        <x:is>
          <x:t xml:space="preserve">Validated identity, restored access path, and confirmed successful login.</x:t>
        </x:is>
      </x:c>
      <x:c r="U44" s="44" t="n">
        <x:v>46088.64722222222</x:v>
      </x:c>
    </x:row>
    <x:row r="45">
      <x:c r="A45" s="8" t="inlineStr">
        <x:is>
          <x:t xml:space="preserve">INC-202603-0044</x:t>
        </x:is>
      </x:c>
      <x:c r="B45" s="44" t="n">
        <x:v>46087.05277777778</x:v>
      </x:c>
      <x:c r="C45" s="10" t="inlineStr">
        <x:is>
          <x:t xml:space="preserve">India</x:t>
        </x:is>
      </x:c>
      <x:c r="D45" s="8" t="inlineStr">
        <x:is>
          <x:t xml:space="preserve">User 044</x:t>
        </x:is>
      </x:c>
      <x:c r="E45" s="11" t="inlineStr">
        <x:is>
          <x:t xml:space="preserve">Operations</x:t>
        </x:is>
      </x:c>
      <x:c r="F45" s="10" t="inlineStr">
        <x:is>
          <x:t xml:space="preserve">Phone</x:t>
        </x:is>
      </x:c>
      <x:c r="G45" s="11" t="inlineStr">
        <x:is>
          <x:t xml:space="preserve">Network &amp; VPN</x:t>
        </x:is>
      </x:c>
      <x:c r="H45" s="11" t="inlineStr">
        <x:is>
          <x:t xml:space="preserve">Wi-Fi unstable</x:t>
        </x:is>
      </x:c>
      <x:c r="I45" s="10" t="inlineStr">
        <x:is>
          <x:t xml:space="preserve">Medium</x:t>
        </x:is>
      </x:c>
      <x:c r="J45" s="10" t="inlineStr">
        <x:is>
          <x:t xml:space="preserve">Resolved</x:t>
        </x:is>
      </x:c>
      <x:c r="K45" s="11" t="inlineStr">
        <x:is>
          <x:t xml:space="preserve">L1 Endpoint Support</x:t>
        </x:is>
      </x:c>
      <x:c r="L45" s="10" t="inlineStr">
        <x:is>
          <x:t xml:space="preserve">Agent C</x:t>
        </x:is>
      </x:c>
      <x:c r="M45" s="12" t="n">
        <x:v>20</x:v>
      </x:c>
      <x:c r="N45" s="45" t="n">
        <x:v>19.2</x:v>
      </x:c>
      <x:c r="O45" s="12">
        <x:f>XLOOKUP(I45,SLA_Rules!$A$4:$A$7,SLA_Rules!$B$4:$B$7,"")</x:f>
        <x:v>16</x:v>
      </x:c>
      <x:c r="P45" s="12" t="str">
        <x:f>IF(J45&lt;&gt;"Resolved","Pending",IF(N45&lt;=O45,"Yes","No"))</x:f>
        <x:v>No</x:v>
      </x:c>
      <x:c r="Q45" s="10" t="inlineStr">
        <x:is>
          <x:t xml:space="preserve">Yes</x:t>
        </x:is>
      </x:c>
      <x:c r="R45" s="12" t="n">
        <x:v>4</x:v>
      </x:c>
      <x:c r="S45" s="11" t="inlineStr">
        <x:is>
          <x:t xml:space="preserve">Credential issue</x:t>
        </x:is>
      </x:c>
      <x:c r="T45" s="5" t="inlineStr">
        <x:is>
          <x:t xml:space="preserve">Checked connectivity path, reconfigured VPN settings, and confirmed stable access.</x:t>
        </x:is>
      </x:c>
      <x:c r="U45" s="44" t="n">
        <x:v>46087.85277777778</x:v>
      </x:c>
    </x:row>
    <x:row r="46">
      <x:c r="A46" s="8" t="inlineStr">
        <x:is>
          <x:t xml:space="preserve">INC-202603-0045</x:t>
        </x:is>
      </x:c>
      <x:c r="B46" s="44" t="n">
        <x:v>46106.56805555556</x:v>
      </x:c>
      <x:c r="C46" s="10" t="inlineStr">
        <x:is>
          <x:t xml:space="preserve">US</x:t>
        </x:is>
      </x:c>
      <x:c r="D46" s="8" t="inlineStr">
        <x:is>
          <x:t xml:space="preserve">User 045</x:t>
        </x:is>
      </x:c>
      <x:c r="E46" s="11" t="inlineStr">
        <x:is>
          <x:t xml:space="preserve">Risk Advisory</x:t>
        </x:is>
      </x:c>
      <x:c r="F46" s="10" t="inlineStr">
        <x:is>
          <x:t xml:space="preserve">Phone</x:t>
        </x:is>
      </x:c>
      <x:c r="G46" s="11" t="inlineStr">
        <x:is>
          <x:t xml:space="preserve">Software &amp; Application</x:t>
        </x:is>
      </x:c>
      <x:c r="H46" s="11" t="inlineStr">
        <x:is>
          <x:t xml:space="preserve">App crash</x:t>
        </x:is>
      </x:c>
      <x:c r="I46" s="10" t="inlineStr">
        <x:is>
          <x:t xml:space="preserve">Medium</x:t>
        </x:is>
      </x:c>
      <x:c r="J46" s="10" t="inlineStr">
        <x:is>
          <x:t xml:space="preserve">Resolved</x:t>
        </x:is>
      </x:c>
      <x:c r="K46" s="11" t="inlineStr">
        <x:is>
          <x:t xml:space="preserve">L1 Global Service Desk</x:t>
        </x:is>
      </x:c>
      <x:c r="L46" s="10" t="inlineStr">
        <x:is>
          <x:t xml:space="preserve">Agent E</x:t>
        </x:is>
      </x:c>
      <x:c r="M46" s="12" t="n">
        <x:v>78</x:v>
      </x:c>
      <x:c r="N46" s="45" t="n">
        <x:v>10.3</x:v>
      </x:c>
      <x:c r="O46" s="12">
        <x:f>XLOOKUP(I46,SLA_Rules!$A$4:$A$7,SLA_Rules!$B$4:$B$7,"")</x:f>
        <x:v>16</x:v>
      </x:c>
      <x:c r="P46" s="12" t="str">
        <x:f>IF(J46&lt;&gt;"Resolved","Pending",IF(N46&lt;=O46,"Yes","No"))</x:f>
        <x:v>Yes</x:v>
      </x:c>
      <x:c r="Q46" s="10" t="inlineStr">
        <x:is>
          <x:t xml:space="preserve">No</x:t>
        </x:is>
      </x:c>
      <x:c r="R46" s="12" t="n">
        <x:v>4</x:v>
      </x:c>
      <x:c r="S46" s="11" t="inlineStr">
        <x:is>
          <x:t xml:space="preserve">Permission mismatch</x:t>
        </x:is>
      </x:c>
      <x:c r="T46" s="5" t="inlineStr">
        <x:is>
          <x:t xml:space="preserve">Validated installation/configuration and completed application repair steps.</x:t>
        </x:is>
      </x:c>
      <x:c r="U46" s="44" t="n">
        <x:v>46106.99722222222</x:v>
      </x:c>
    </x:row>
    <x:row r="47">
      <x:c r="A47" s="8" t="inlineStr">
        <x:is>
          <x:t xml:space="preserve">INC-202603-0046</x:t>
        </x:is>
      </x:c>
      <x:c r="B47" s="44" t="n">
        <x:v>46088.3625</x:v>
      </x:c>
      <x:c r="C47" s="10" t="inlineStr">
        <x:is>
          <x:t xml:space="preserve">UK</x:t>
        </x:is>
      </x:c>
      <x:c r="D47" s="8" t="inlineStr">
        <x:is>
          <x:t xml:space="preserve">User 046</x:t>
        </x:is>
      </x:c>
      <x:c r="E47" s="11" t="inlineStr">
        <x:is>
          <x:t xml:space="preserve">Tax</x:t>
        </x:is>
      </x:c>
      <x:c r="F47" s="10" t="inlineStr">
        <x:is>
          <x:t xml:space="preserve">Chat</x:t>
        </x:is>
      </x:c>
      <x:c r="G47" s="11" t="inlineStr">
        <x:is>
          <x:t xml:space="preserve">Email &amp; Outlook</x:t>
        </x:is>
      </x:c>
      <x:c r="H47" s="11" t="inlineStr">
        <x:is>
          <x:t xml:space="preserve">Search not working</x:t>
        </x:is>
      </x:c>
      <x:c r="I47" s="10" t="inlineStr">
        <x:is>
          <x:t xml:space="preserve">Low</x:t>
        </x:is>
      </x:c>
      <x:c r="J47" s="10" t="inlineStr">
        <x:is>
          <x:t xml:space="preserve">Resolved</x:t>
        </x:is>
      </x:c>
      <x:c r="K47" s="11" t="inlineStr">
        <x:is>
          <x:t xml:space="preserve">L1 Identity Support</x:t>
        </x:is>
      </x:c>
      <x:c r="L47" s="10" t="inlineStr">
        <x:is>
          <x:t xml:space="preserve">Agent F</x:t>
        </x:is>
      </x:c>
      <x:c r="M47" s="12" t="n">
        <x:v>43</x:v>
      </x:c>
      <x:c r="N47" s="45" t="n">
        <x:v>8.199999999999999</x:v>
      </x:c>
      <x:c r="O47" s="12">
        <x:f>XLOOKUP(I47,SLA_Rules!$A$4:$A$7,SLA_Rules!$B$4:$B$7,"")</x:f>
        <x:v>24</x:v>
      </x:c>
      <x:c r="P47" s="12" t="str">
        <x:f>IF(J47&lt;&gt;"Resolved","Pending",IF(N47&lt;=O47,"Yes","No"))</x:f>
        <x:v>Yes</x:v>
      </x:c>
      <x:c r="Q47" s="10" t="inlineStr">
        <x:is>
          <x:t xml:space="preserve">No</x:t>
        </x:is>
      </x:c>
      <x:c r="R47" s="12" t="n">
        <x:v>4</x:v>
      </x:c>
      <x:c r="S47" s="11" t="inlineStr">
        <x:is>
          <x:t xml:space="preserve">Pending update</x:t>
        </x:is>
      </x:c>
      <x:c r="T47" s="5" t="inlineStr">
        <x:is>
          <x:t xml:space="preserve">Cleared profile/cache and validated mailbox connectivity with user.</x:t>
        </x:is>
      </x:c>
      <x:c r="U47" s="44" t="n">
        <x:v>46088.70416666667</x:v>
      </x:c>
    </x:row>
    <x:row r="48">
      <x:c r="A48" s="8" t="inlineStr">
        <x:is>
          <x:t xml:space="preserve">INC-202603-0047</x:t>
        </x:is>
      </x:c>
      <x:c r="B48" s="44" t="n">
        <x:v>46089.36805555555</x:v>
      </x:c>
      <x:c r="C48" s="10" t="inlineStr">
        <x:is>
          <x:t xml:space="preserve">India</x:t>
        </x:is>
      </x:c>
      <x:c r="D48" s="8" t="inlineStr">
        <x:is>
          <x:t xml:space="preserve">User 047</x:t>
        </x:is>
      </x:c>
      <x:c r="E48" s="11" t="inlineStr">
        <x:is>
          <x:t xml:space="preserve">Operations</x:t>
        </x:is>
      </x:c>
      <x:c r="F48" s="10" t="inlineStr">
        <x:is>
          <x:t xml:space="preserve">Chat</x:t>
        </x:is>
      </x:c>
      <x:c r="G48" s="11" t="inlineStr">
        <x:is>
          <x:t xml:space="preserve">Network &amp; VPN</x:t>
        </x:is>
      </x:c>
      <x:c r="H48" s="11" t="inlineStr">
        <x:is>
          <x:t xml:space="preserve">Remote desktop timeout</x:t>
        </x:is>
      </x:c>
      <x:c r="I48" s="10" t="inlineStr">
        <x:is>
          <x:t xml:space="preserve">Medium</x:t>
        </x:is>
      </x:c>
      <x:c r="J48" s="10" t="inlineStr">
        <x:is>
          <x:t xml:space="preserve">Resolved</x:t>
        </x:is>
      </x:c>
      <x:c r="K48" s="11" t="inlineStr">
        <x:is>
          <x:t xml:space="preserve">L1 Global Service Desk</x:t>
        </x:is>
      </x:c>
      <x:c r="L48" s="10" t="inlineStr">
        <x:is>
          <x:t xml:space="preserve">Agent F</x:t>
        </x:is>
      </x:c>
      <x:c r="M48" s="12" t="n">
        <x:v>37</x:v>
      </x:c>
      <x:c r="N48" s="45" t="n">
        <x:v>9.9</x:v>
      </x:c>
      <x:c r="O48" s="12">
        <x:f>XLOOKUP(I48,SLA_Rules!$A$4:$A$7,SLA_Rules!$B$4:$B$7,"")</x:f>
        <x:v>16</x:v>
      </x:c>
      <x:c r="P48" s="12" t="str">
        <x:f>IF(J48&lt;&gt;"Resolved","Pending",IF(N48&lt;=O48,"Yes","No"))</x:f>
        <x:v>Yes</x:v>
      </x:c>
      <x:c r="Q48" s="10" t="inlineStr">
        <x:is>
          <x:t xml:space="preserve">No</x:t>
        </x:is>
      </x:c>
      <x:c r="R48" s="12" t="n">
        <x:v>5</x:v>
      </x:c>
      <x:c r="S48" s="11" t="inlineStr">
        <x:is>
          <x:t xml:space="preserve">Driver problem</x:t>
        </x:is>
      </x:c>
      <x:c r="T48" s="5" t="inlineStr">
        <x:is>
          <x:t xml:space="preserve">Checked connectivity path, reconfigured VPN settings, and confirmed stable access.</x:t>
        </x:is>
      </x:c>
      <x:c r="U48" s="44" t="n">
        <x:v>46089.78055555555</x:v>
      </x:c>
    </x:row>
    <x:row r="49">
      <x:c r="A49" s="8" t="inlineStr">
        <x:is>
          <x:t xml:space="preserve">INC-202603-0048</x:t>
        </x:is>
      </x:c>
      <x:c r="B49" s="44" t="n">
        <x:v>46108.79027777778</x:v>
      </x:c>
      <x:c r="C49" s="10" t="inlineStr">
        <x:is>
          <x:t xml:space="preserve">India</x:t>
        </x:is>
      </x:c>
      <x:c r="D49" s="8" t="inlineStr">
        <x:is>
          <x:t xml:space="preserve">User 048</x:t>
        </x:is>
      </x:c>
      <x:c r="E49" s="11" t="inlineStr">
        <x:is>
          <x:t xml:space="preserve">Internal Services</x:t>
        </x:is>
      </x:c>
      <x:c r="F49" s="10" t="inlineStr">
        <x:is>
          <x:t xml:space="preserve">Phone</x:t>
        </x:is>
      </x:c>
      <x:c r="G49" s="11" t="inlineStr">
        <x:is>
          <x:t xml:space="preserve">Email &amp; Outlook</x:t>
        </x:is>
      </x:c>
      <x:c r="H49" s="11" t="inlineStr">
        <x:is>
          <x:t xml:space="preserve">Mailbox sync delay</x:t>
        </x:is>
      </x:c>
      <x:c r="I49" s="10" t="inlineStr">
        <x:is>
          <x:t xml:space="preserve">Low</x:t>
        </x:is>
      </x:c>
      <x:c r="J49" s="10" t="inlineStr">
        <x:is>
          <x:t xml:space="preserve">Resolved</x:t>
        </x:is>
      </x:c>
      <x:c r="K49" s="11" t="inlineStr">
        <x:is>
          <x:t xml:space="preserve">L1 Network Support</x:t>
        </x:is>
      </x:c>
      <x:c r="L49" s="10" t="inlineStr">
        <x:is>
          <x:t xml:space="preserve">Agent F</x:t>
        </x:is>
      </x:c>
      <x:c r="M49" s="12" t="n">
        <x:v>101</x:v>
      </x:c>
      <x:c r="N49" s="45" t="n">
        <x:v>6</x:v>
      </x:c>
      <x:c r="O49" s="12">
        <x:f>XLOOKUP(I49,SLA_Rules!$A$4:$A$7,SLA_Rules!$B$4:$B$7,"")</x:f>
        <x:v>24</x:v>
      </x:c>
      <x:c r="P49" s="12" t="str">
        <x:f>IF(J49&lt;&gt;"Resolved","Pending",IF(N49&lt;=O49,"Yes","No"))</x:f>
        <x:v>Yes</x:v>
      </x:c>
      <x:c r="Q49" s="10" t="inlineStr">
        <x:is>
          <x:t xml:space="preserve">No</x:t>
        </x:is>
      </x:c>
      <x:c r="R49" s="12" t="n">
        <x:v>5</x:v>
      </x:c>
      <x:c r="S49" s="11" t="inlineStr">
        <x:is>
          <x:t xml:space="preserve">Expired password</x:t>
        </x:is>
      </x:c>
      <x:c r="T49" s="5" t="inlineStr">
        <x:is>
          <x:t xml:space="preserve">Cleared profile/cache and validated mailbox connectivity with user.</x:t>
        </x:is>
      </x:c>
      <x:c r="U49" s="44" t="n">
        <x:v>46109.04027777778</x:v>
      </x:c>
    </x:row>
    <x:row r="50">
      <x:c r="A50" s="8" t="inlineStr">
        <x:is>
          <x:t xml:space="preserve">INC-202603-0049</x:t>
        </x:is>
      </x:c>
      <x:c r="B50" s="44" t="n">
        <x:v>46082.09305555555</x:v>
      </x:c>
      <x:c r="C50" s="10" t="inlineStr">
        <x:is>
          <x:t xml:space="preserve">India</x:t>
        </x:is>
      </x:c>
      <x:c r="D50" s="8" t="inlineStr">
        <x:is>
          <x:t xml:space="preserve">User 049</x:t>
        </x:is>
      </x:c>
      <x:c r="E50" s="11" t="inlineStr">
        <x:is>
          <x:t xml:space="preserve">Finance</x:t>
        </x:is>
      </x:c>
      <x:c r="F50" s="10" t="inlineStr">
        <x:is>
          <x:t xml:space="preserve">Email</x:t>
        </x:is>
      </x:c>
      <x:c r="G50" s="11" t="inlineStr">
        <x:is>
          <x:t xml:space="preserve">Network &amp; VPN</x:t>
        </x:is>
      </x:c>
      <x:c r="H50" s="11" t="inlineStr">
        <x:is>
          <x:t xml:space="preserve">DNS error</x:t>
        </x:is>
      </x:c>
      <x:c r="I50" s="10" t="inlineStr">
        <x:is>
          <x:t xml:space="preserve">Medium</x:t>
        </x:is>
      </x:c>
      <x:c r="J50" s="10" t="inlineStr">
        <x:is>
          <x:t xml:space="preserve">Resolved</x:t>
        </x:is>
      </x:c>
      <x:c r="K50" s="11" t="inlineStr">
        <x:is>
          <x:t xml:space="preserve">L1 Network Support</x:t>
        </x:is>
      </x:c>
      <x:c r="L50" s="10" t="inlineStr">
        <x:is>
          <x:t xml:space="preserve">Agent C</x:t>
        </x:is>
      </x:c>
      <x:c r="M50" s="12" t="n">
        <x:v>14</x:v>
      </x:c>
      <x:c r="N50" s="45" t="n">
        <x:v>24.5</x:v>
      </x:c>
      <x:c r="O50" s="12">
        <x:f>XLOOKUP(I50,SLA_Rules!$A$4:$A$7,SLA_Rules!$B$4:$B$7,"")</x:f>
        <x:v>16</x:v>
      </x:c>
      <x:c r="P50" s="12" t="str">
        <x:f>IF(J50&lt;&gt;"Resolved","Pending",IF(N50&lt;=O50,"Yes","No"))</x:f>
        <x:v>No</x:v>
      </x:c>
      <x:c r="Q50" s="10" t="inlineStr">
        <x:is>
          <x:t xml:space="preserve">Yes</x:t>
        </x:is>
      </x:c>
      <x:c r="R50" s="12" t="n">
        <x:v>5</x:v>
      </x:c>
      <x:c r="S50" s="11" t="inlineStr">
        <x:is>
          <x:t xml:space="preserve">Expired password</x:t>
        </x:is>
      </x:c>
      <x:c r="T50" s="5" t="inlineStr">
        <x:is>
          <x:t xml:space="preserve">Checked connectivity path, reconfigured VPN settings, and confirmed stable access.</x:t>
        </x:is>
      </x:c>
      <x:c r="U50" s="44" t="n">
        <x:v>46083.11388888889</x:v>
      </x:c>
    </x:row>
    <x:row r="51">
      <x:c r="A51" s="8" t="inlineStr">
        <x:is>
          <x:t xml:space="preserve">INC-202603-0050</x:t>
        </x:is>
      </x:c>
      <x:c r="B51" s="44" t="n">
        <x:v>46097.47638888889</x:v>
      </x:c>
      <x:c r="C51" s="10" t="inlineStr">
        <x:is>
          <x:t xml:space="preserve">US</x:t>
        </x:is>
      </x:c>
      <x:c r="D51" s="8" t="inlineStr">
        <x:is>
          <x:t xml:space="preserve">User 050</x:t>
        </x:is>
      </x:c>
      <x:c r="E51" s="11" t="inlineStr">
        <x:is>
          <x:t xml:space="preserve">HR</x:t>
        </x:is>
      </x:c>
      <x:c r="F51" s="10" t="inlineStr">
        <x:is>
          <x:t xml:space="preserve">Phone</x:t>
        </x:is>
      </x:c>
      <x:c r="G51" s="11" t="inlineStr">
        <x:is>
          <x:t xml:space="preserve">Software &amp; Application</x:t>
        </x:is>
      </x:c>
      <x:c r="H51" s="11" t="inlineStr">
        <x:is>
          <x:t xml:space="preserve">Install failed</x:t>
        </x:is>
      </x:c>
      <x:c r="I51" s="10" t="inlineStr">
        <x:is>
          <x:t xml:space="preserve">Medium</x:t>
        </x:is>
      </x:c>
      <x:c r="J51" s="10" t="inlineStr">
        <x:is>
          <x:t xml:space="preserve">Resolved</x:t>
        </x:is>
      </x:c>
      <x:c r="K51" s="11" t="inlineStr">
        <x:is>
          <x:t xml:space="preserve">L1 Endpoint Support</x:t>
        </x:is>
      </x:c>
      <x:c r="L51" s="10" t="inlineStr">
        <x:is>
          <x:t xml:space="preserve">Agent A</x:t>
        </x:is>
      </x:c>
      <x:c r="M51" s="12" t="n">
        <x:v>32</x:v>
      </x:c>
      <x:c r="N51" s="45" t="n">
        <x:v>11</x:v>
      </x:c>
      <x:c r="O51" s="12">
        <x:f>XLOOKUP(I51,SLA_Rules!$A$4:$A$7,SLA_Rules!$B$4:$B$7,"")</x:f>
        <x:v>16</x:v>
      </x:c>
      <x:c r="P51" s="12" t="str">
        <x:f>IF(J51&lt;&gt;"Resolved","Pending",IF(N51&lt;=O51,"Yes","No"))</x:f>
        <x:v>Yes</x:v>
      </x:c>
      <x:c r="Q51" s="10" t="inlineStr">
        <x:is>
          <x:t xml:space="preserve">No</x:t>
        </x:is>
      </x:c>
      <x:c r="R51" s="12" t="n">
        <x:v>4</x:v>
      </x:c>
      <x:c r="S51" s="11" t="inlineStr">
        <x:is>
          <x:t xml:space="preserve">Permission mismatch</x:t>
        </x:is>
      </x:c>
      <x:c r="T51" s="5" t="inlineStr">
        <x:is>
          <x:t xml:space="preserve">Validated installation/configuration and completed application repair steps.</x:t>
        </x:is>
      </x:c>
      <x:c r="U51" s="44" t="n">
        <x:v>46097.93472222222</x:v>
      </x:c>
    </x:row>
    <x:row r="52">
      <x:c r="A52" s="8" t="inlineStr">
        <x:is>
          <x:t xml:space="preserve">INC-202603-0051</x:t>
        </x:is>
      </x:c>
      <x:c r="B52" s="44" t="n">
        <x:v>46098.02916666667</x:v>
      </x:c>
      <x:c r="C52" s="10" t="inlineStr">
        <x:is>
          <x:t xml:space="preserve">India</x:t>
        </x:is>
      </x:c>
      <x:c r="D52" s="8" t="inlineStr">
        <x:is>
          <x:t xml:space="preserve">User 051</x:t>
        </x:is>
      </x:c>
      <x:c r="E52" s="11" t="inlineStr">
        <x:is>
          <x:t xml:space="preserve">Tax</x:t>
        </x:is>
      </x:c>
      <x:c r="F52" s="10" t="inlineStr">
        <x:is>
          <x:t xml:space="preserve">Phone</x:t>
        </x:is>
      </x:c>
      <x:c r="G52" s="11" t="inlineStr">
        <x:is>
          <x:t xml:space="preserve">Email &amp; Outlook</x:t>
        </x:is>
      </x:c>
      <x:c r="H52" s="11" t="inlineStr">
        <x:is>
          <x:t xml:space="preserve">Calendar invite issue</x:t>
        </x:is>
      </x:c>
      <x:c r="I52" s="10" t="inlineStr">
        <x:is>
          <x:t xml:space="preserve">Low</x:t>
        </x:is>
      </x:c>
      <x:c r="J52" s="10" t="inlineStr">
        <x:is>
          <x:t xml:space="preserve">Resolved</x:t>
        </x:is>
      </x:c>
      <x:c r="K52" s="11" t="inlineStr">
        <x:is>
          <x:t xml:space="preserve">L1 Endpoint Support</x:t>
        </x:is>
      </x:c>
      <x:c r="L52" s="10" t="inlineStr">
        <x:is>
          <x:t xml:space="preserve">Agent G</x:t>
        </x:is>
      </x:c>
      <x:c r="M52" s="12" t="n">
        <x:v>37</x:v>
      </x:c>
      <x:c r="N52" s="45" t="n">
        <x:v>28.8</x:v>
      </x:c>
      <x:c r="O52" s="12">
        <x:f>XLOOKUP(I52,SLA_Rules!$A$4:$A$7,SLA_Rules!$B$4:$B$7,"")</x:f>
        <x:v>24</x:v>
      </x:c>
      <x:c r="P52" s="12" t="str">
        <x:f>IF(J52&lt;&gt;"Resolved","Pending",IF(N52&lt;=O52,"Yes","No"))</x:f>
        <x:v>No</x:v>
      </x:c>
      <x:c r="Q52" s="10" t="inlineStr">
        <x:is>
          <x:t xml:space="preserve">Yes</x:t>
        </x:is>
      </x:c>
      <x:c r="R52" s="12" t="n">
        <x:v>3</x:v>
      </x:c>
      <x:c r="S52" s="11" t="inlineStr">
        <x:is>
          <x:t xml:space="preserve">Application cache</x:t>
        </x:is>
      </x:c>
      <x:c r="T52" s="5" t="inlineStr">
        <x:is>
          <x:t xml:space="preserve">Cleared profile/cache and validated mailbox connectivity with user.</x:t>
        </x:is>
      </x:c>
      <x:c r="U52" s="44" t="n">
        <x:v>46099.22916666666</x:v>
      </x:c>
    </x:row>
    <x:row r="53">
      <x:c r="A53" s="8" t="inlineStr">
        <x:is>
          <x:t xml:space="preserve">INC-202603-0052</x:t>
        </x:is>
      </x:c>
      <x:c r="B53" s="44" t="n">
        <x:v>46097.12569444445</x:v>
      </x:c>
      <x:c r="C53" s="10" t="inlineStr">
        <x:is>
          <x:t xml:space="preserve">India</x:t>
        </x:is>
      </x:c>
      <x:c r="D53" s="8" t="inlineStr">
        <x:is>
          <x:t xml:space="preserve">User 052</x:t>
        </x:is>
      </x:c>
      <x:c r="E53" s="11" t="inlineStr">
        <x:is>
          <x:t xml:space="preserve">Internal Services</x:t>
        </x:is>
      </x:c>
      <x:c r="F53" s="10" t="inlineStr">
        <x:is>
          <x:t xml:space="preserve">Email</x:t>
        </x:is>
      </x:c>
      <x:c r="G53" s="11" t="inlineStr">
        <x:is>
          <x:t xml:space="preserve">Software &amp; Application</x:t>
        </x:is>
      </x:c>
      <x:c r="H53" s="11" t="inlineStr">
        <x:is>
          <x:t xml:space="preserve">Plugin error</x:t>
        </x:is>
      </x:c>
      <x:c r="I53" s="10" t="inlineStr">
        <x:is>
          <x:t xml:space="preserve">Medium</x:t>
        </x:is>
      </x:c>
      <x:c r="J53" s="10" t="inlineStr">
        <x:is>
          <x:t xml:space="preserve">Resolved</x:t>
        </x:is>
      </x:c>
      <x:c r="K53" s="11" t="inlineStr">
        <x:is>
          <x:t xml:space="preserve">L1 Endpoint Support</x:t>
        </x:is>
      </x:c>
      <x:c r="L53" s="10" t="inlineStr">
        <x:is>
          <x:t xml:space="preserve">Agent F</x:t>
        </x:is>
      </x:c>
      <x:c r="M53" s="12" t="n">
        <x:v>42</x:v>
      </x:c>
      <x:c r="N53" s="45" t="n">
        <x:v>18.5</x:v>
      </x:c>
      <x:c r="O53" s="12">
        <x:f>XLOOKUP(I53,SLA_Rules!$A$4:$A$7,SLA_Rules!$B$4:$B$7,"")</x:f>
        <x:v>16</x:v>
      </x:c>
      <x:c r="P53" s="12" t="str">
        <x:f>IF(J53&lt;&gt;"Resolved","Pending",IF(N53&lt;=O53,"Yes","No"))</x:f>
        <x:v>No</x:v>
      </x:c>
      <x:c r="Q53" s="10" t="inlineStr">
        <x:is>
          <x:t xml:space="preserve">Yes</x:t>
        </x:is>
      </x:c>
      <x:c r="R53" s="12" t="n">
        <x:v>4</x:v>
      </x:c>
      <x:c r="S53" s="11" t="inlineStr">
        <x:is>
          <x:t xml:space="preserve">Expired password</x:t>
        </x:is>
      </x:c>
      <x:c r="T53" s="5" t="inlineStr">
        <x:is>
          <x:t xml:space="preserve">Validated installation/configuration and completed application repair steps.</x:t>
        </x:is>
      </x:c>
      <x:c r="U53" s="44" t="n">
        <x:v>46097.89652777778</x:v>
      </x:c>
    </x:row>
    <x:row r="54">
      <x:c r="A54" s="8" t="inlineStr">
        <x:is>
          <x:t xml:space="preserve">INC-202603-0053</x:t>
        </x:is>
      </x:c>
      <x:c r="B54" s="44" t="n">
        <x:v>46108.18819444445</x:v>
      </x:c>
      <x:c r="C54" s="10" t="inlineStr">
        <x:is>
          <x:t xml:space="preserve">APAC</x:t>
        </x:is>
      </x:c>
      <x:c r="D54" s="8" t="inlineStr">
        <x:is>
          <x:t xml:space="preserve">User 053</x:t>
        </x:is>
      </x:c>
      <x:c r="E54" s="11" t="inlineStr">
        <x:is>
          <x:t xml:space="preserve">Operations</x:t>
        </x:is>
      </x:c>
      <x:c r="F54" s="10" t="inlineStr">
        <x:is>
          <x:t xml:space="preserve">Web Ticket</x:t>
        </x:is>
      </x:c>
      <x:c r="G54" s="11" t="inlineStr">
        <x:is>
          <x:t xml:space="preserve">Network &amp; VPN</x:t>
        </x:is>
      </x:c>
      <x:c r="H54" s="11" t="inlineStr">
        <x:is>
          <x:t xml:space="preserve">Remote desktop timeout</x:t>
        </x:is>
      </x:c>
      <x:c r="I54" s="10" t="inlineStr">
        <x:is>
          <x:t xml:space="preserve">Medium</x:t>
        </x:is>
      </x:c>
      <x:c r="J54" s="10" t="inlineStr">
        <x:is>
          <x:t xml:space="preserve">Resolved</x:t>
        </x:is>
      </x:c>
      <x:c r="K54" s="11" t="inlineStr">
        <x:is>
          <x:t xml:space="preserve">L1 Global Service Desk</x:t>
        </x:is>
      </x:c>
      <x:c r="L54" s="10" t="inlineStr">
        <x:is>
          <x:t xml:space="preserve">Agent F</x:t>
        </x:is>
      </x:c>
      <x:c r="M54" s="12" t="n">
        <x:v>46</x:v>
      </x:c>
      <x:c r="N54" s="45" t="n">
        <x:v>19.2</x:v>
      </x:c>
      <x:c r="O54" s="12">
        <x:f>XLOOKUP(I54,SLA_Rules!$A$4:$A$7,SLA_Rules!$B$4:$B$7,"")</x:f>
        <x:v>16</x:v>
      </x:c>
      <x:c r="P54" s="12" t="str">
        <x:f>IF(J54&lt;&gt;"Resolved","Pending",IF(N54&lt;=O54,"Yes","No"))</x:f>
        <x:v>No</x:v>
      </x:c>
      <x:c r="Q54" s="10" t="inlineStr">
        <x:is>
          <x:t xml:space="preserve">Yes</x:t>
        </x:is>
      </x:c>
      <x:c r="R54" s="12" t="n">
        <x:v>4</x:v>
      </x:c>
      <x:c r="S54" s="11" t="inlineStr">
        <x:is>
          <x:t xml:space="preserve">Permission mismatch</x:t>
        </x:is>
      </x:c>
      <x:c r="T54" s="5" t="inlineStr">
        <x:is>
          <x:t xml:space="preserve">Checked connectivity path, reconfigured VPN settings, and confirmed stable access.</x:t>
        </x:is>
      </x:c>
      <x:c r="U54" s="44" t="n">
        <x:v>46108.98819444444</x:v>
      </x:c>
    </x:row>
    <x:row r="55">
      <x:c r="A55" s="8" t="inlineStr">
        <x:is>
          <x:t xml:space="preserve">INC-202603-0054</x:t>
        </x:is>
      </x:c>
      <x:c r="B55" s="44" t="n">
        <x:v>46106.55625</x:v>
      </x:c>
      <x:c r="C55" s="10" t="inlineStr">
        <x:is>
          <x:t xml:space="preserve">US</x:t>
        </x:is>
      </x:c>
      <x:c r="D55" s="8" t="inlineStr">
        <x:is>
          <x:t xml:space="preserve">User 054</x:t>
        </x:is>
      </x:c>
      <x:c r="E55" s="11" t="inlineStr">
        <x:is>
          <x:t xml:space="preserve">Consulting</x:t>
        </x:is>
      </x:c>
      <x:c r="F55" s="10" t="inlineStr">
        <x:is>
          <x:t xml:space="preserve">Web Ticket</x:t>
        </x:is>
      </x:c>
      <x:c r="G55" s="11" t="inlineStr">
        <x:is>
          <x:t xml:space="preserve">Printer &amp; Peripheral</x:t>
        </x:is>
      </x:c>
      <x:c r="H55" s="11" t="inlineStr">
        <x:is>
          <x:t xml:space="preserve">Scanner issue</x:t>
        </x:is>
      </x:c>
      <x:c r="I55" s="10" t="inlineStr">
        <x:is>
          <x:t xml:space="preserve">Low</x:t>
        </x:is>
      </x:c>
      <x:c r="J55" s="10" t="inlineStr">
        <x:is>
          <x:t xml:space="preserve">Resolved</x:t>
        </x:is>
      </x:c>
      <x:c r="K55" s="11" t="inlineStr">
        <x:is>
          <x:t xml:space="preserve">L1 Global Service Desk</x:t>
        </x:is>
      </x:c>
      <x:c r="L55" s="10" t="inlineStr">
        <x:is>
          <x:t xml:space="preserve">Agent C</x:t>
        </x:is>
      </x:c>
      <x:c r="M55" s="12" t="n">
        <x:v>24</x:v>
      </x:c>
      <x:c r="N55" s="45" t="n">
        <x:v>28.8</x:v>
      </x:c>
      <x:c r="O55" s="12">
        <x:f>XLOOKUP(I55,SLA_Rules!$A$4:$A$7,SLA_Rules!$B$4:$B$7,"")</x:f>
        <x:v>24</x:v>
      </x:c>
      <x:c r="P55" s="12" t="str">
        <x:f>IF(J55&lt;&gt;"Resolved","Pending",IF(N55&lt;=O55,"Yes","No"))</x:f>
        <x:v>No</x:v>
      </x:c>
      <x:c r="Q55" s="10" t="inlineStr">
        <x:is>
          <x:t xml:space="preserve">Yes</x:t>
        </x:is>
      </x:c>
      <x:c r="R55" s="12" t="n">
        <x:v>4</x:v>
      </x:c>
      <x:c r="S55" s="11" t="inlineStr">
        <x:is>
          <x:t xml:space="preserve">Expired password</x:t>
        </x:is>
      </x:c>
      <x:c r="T55" s="5" t="inlineStr">
        <x:is>
          <x:t xml:space="preserve">Remapped device/driver and confirmed successful test output.</x:t>
        </x:is>
      </x:c>
      <x:c r="U55" s="44" t="n">
        <x:v>46107.75625</x:v>
      </x:c>
    </x:row>
    <x:row r="56">
      <x:c r="A56" s="8" t="inlineStr">
        <x:is>
          <x:t xml:space="preserve">INC-202603-0055</x:t>
        </x:is>
      </x:c>
      <x:c r="B56" s="44" t="n">
        <x:v>46099.52013888889</x:v>
      </x:c>
      <x:c r="C56" s="10" t="inlineStr">
        <x:is>
          <x:t xml:space="preserve">US</x:t>
        </x:is>
      </x:c>
      <x:c r="D56" s="8" t="inlineStr">
        <x:is>
          <x:t xml:space="preserve">User 055</x:t>
        </x:is>
      </x:c>
      <x:c r="E56" s="11" t="inlineStr">
        <x:is>
          <x:t xml:space="preserve">Finance</x:t>
        </x:is>
      </x:c>
      <x:c r="F56" s="10" t="inlineStr">
        <x:is>
          <x:t xml:space="preserve">Email</x:t>
        </x:is>
      </x:c>
      <x:c r="G56" s="11" t="inlineStr">
        <x:is>
          <x:t xml:space="preserve">Hardware</x:t>
        </x:is>
      </x:c>
      <x:c r="H56" s="11" t="inlineStr">
        <x:is>
          <x:t xml:space="preserve">Blue screen</x:t>
        </x:is>
      </x:c>
      <x:c r="I56" s="10" t="inlineStr">
        <x:is>
          <x:t xml:space="preserve">Medium</x:t>
        </x:is>
      </x:c>
      <x:c r="J56" s="10" t="inlineStr">
        <x:is>
          <x:t xml:space="preserve">In Progress</x:t>
        </x:is>
      </x:c>
      <x:c r="K56" s="11" t="inlineStr">
        <x:is>
          <x:t xml:space="preserve">L1 Network Support</x:t>
        </x:is>
      </x:c>
      <x:c r="L56" s="10" t="inlineStr">
        <x:is>
          <x:t xml:space="preserve">Agent G</x:t>
        </x:is>
      </x:c>
      <x:c r="M56" s="12" t="n">
        <x:v>59</x:v>
      </x:c>
      <x:c r="N56" s="12" t="n"/>
      <x:c r="O56" s="12">
        <x:f>XLOOKUP(I56,SLA_Rules!$A$4:$A$7,SLA_Rules!$B$4:$B$7,"")</x:f>
        <x:v>16</x:v>
      </x:c>
      <x:c r="P56" s="12" t="str">
        <x:f>IF(J56&lt;&gt;"Resolved","Pending",IF(N56&lt;=O56,"Yes","No"))</x:f>
        <x:v>Pending</x:v>
      </x:c>
      <x:c r="Q56" s="10" t="inlineStr">
        <x:is>
          <x:t xml:space="preserve">No</x:t>
        </x:is>
      </x:c>
      <x:c r="R56" s="12" t="n"/>
      <x:c r="S56" s="11" t="inlineStr">
        <x:is>
          <x:t xml:space="preserve">Network instability</x:t>
        </x:is>
      </x:c>
      <x:c r="T56" s="5" t="inlineStr">
        <x:is>
          <x:t xml:space="preserve">Ran endpoint checks and provided workaround or hardware escalation as needed.</x:t>
        </x:is>
      </x:c>
      <x:c r="U56" s="8" t="n"/>
    </x:row>
    <x:row r="57">
      <x:c r="A57" s="8" t="inlineStr">
        <x:is>
          <x:t xml:space="preserve">INC-202603-0056</x:t>
        </x:is>
      </x:c>
      <x:c r="B57" s="44" t="n">
        <x:v>46107.83958333333</x:v>
      </x:c>
      <x:c r="C57" s="10" t="inlineStr">
        <x:is>
          <x:t xml:space="preserve">UK</x:t>
        </x:is>
      </x:c>
      <x:c r="D57" s="8" t="inlineStr">
        <x:is>
          <x:t xml:space="preserve">User 056</x:t>
        </x:is>
      </x:c>
      <x:c r="E57" s="11" t="inlineStr">
        <x:is>
          <x:t xml:space="preserve">HR</x:t>
        </x:is>
      </x:c>
      <x:c r="F57" s="10" t="inlineStr">
        <x:is>
          <x:t xml:space="preserve">Chat</x:t>
        </x:is>
      </x:c>
      <x:c r="G57" s="11" t="inlineStr">
        <x:is>
          <x:t xml:space="preserve">Software &amp; Application</x:t>
        </x:is>
      </x:c>
      <x:c r="H57" s="11" t="inlineStr">
        <x:is>
          <x:t xml:space="preserve">Install failed</x:t>
        </x:is>
      </x:c>
      <x:c r="I57" s="10" t="inlineStr">
        <x:is>
          <x:t xml:space="preserve">Medium</x:t>
        </x:is>
      </x:c>
      <x:c r="J57" s="10" t="inlineStr">
        <x:is>
          <x:t xml:space="preserve">Resolved</x:t>
        </x:is>
      </x:c>
      <x:c r="K57" s="11" t="inlineStr">
        <x:is>
          <x:t xml:space="preserve">L1 Endpoint Support</x:t>
        </x:is>
      </x:c>
      <x:c r="L57" s="10" t="inlineStr">
        <x:is>
          <x:t xml:space="preserve">Agent F</x:t>
        </x:is>
      </x:c>
      <x:c r="M57" s="12" t="n">
        <x:v>76</x:v>
      </x:c>
      <x:c r="N57" s="45" t="n">
        <x:v>2.9</x:v>
      </x:c>
      <x:c r="O57" s="12">
        <x:f>XLOOKUP(I57,SLA_Rules!$A$4:$A$7,SLA_Rules!$B$4:$B$7,"")</x:f>
        <x:v>16</x:v>
      </x:c>
      <x:c r="P57" s="12" t="str">
        <x:f>IF(J57&lt;&gt;"Resolved","Pending",IF(N57&lt;=O57,"Yes","No"))</x:f>
        <x:v>Yes</x:v>
      </x:c>
      <x:c r="Q57" s="10" t="inlineStr">
        <x:is>
          <x:t xml:space="preserve">No</x:t>
        </x:is>
      </x:c>
      <x:c r="R57" s="12" t="n">
        <x:v>5</x:v>
      </x:c>
      <x:c r="S57" s="11" t="inlineStr">
        <x:is>
          <x:t xml:space="preserve">Application cache</x:t>
        </x:is>
      </x:c>
      <x:c r="T57" s="5" t="inlineStr">
        <x:is>
          <x:t xml:space="preserve">Validated installation/configuration and completed application repair steps.</x:t>
        </x:is>
      </x:c>
      <x:c r="U57" s="44" t="n">
        <x:v>46107.96041666667</x:v>
      </x:c>
    </x:row>
    <x:row r="58">
      <x:c r="A58" s="8" t="inlineStr">
        <x:is>
          <x:t xml:space="preserve">INC-202603-0057</x:t>
        </x:is>
      </x:c>
      <x:c r="B58" s="44" t="n">
        <x:v>46097.34791666667</x:v>
      </x:c>
      <x:c r="C58" s="10" t="inlineStr">
        <x:is>
          <x:t xml:space="preserve">US</x:t>
        </x:is>
      </x:c>
      <x:c r="D58" s="8" t="inlineStr">
        <x:is>
          <x:t xml:space="preserve">User 057</x:t>
        </x:is>
      </x:c>
      <x:c r="E58" s="11" t="inlineStr">
        <x:is>
          <x:t xml:space="preserve">HR</x:t>
        </x:is>
      </x:c>
      <x:c r="F58" s="10" t="inlineStr">
        <x:is>
          <x:t xml:space="preserve">Chat</x:t>
        </x:is>
      </x:c>
      <x:c r="G58" s="11" t="inlineStr">
        <x:is>
          <x:t xml:space="preserve">Password Reset</x:t>
        </x:is>
      </x:c>
      <x:c r="H58" s="11" t="inlineStr">
        <x:is>
          <x:t xml:space="preserve">Password policy error</x:t>
        </x:is>
      </x:c>
      <x:c r="I58" s="10" t="inlineStr">
        <x:is>
          <x:t xml:space="preserve">Low</x:t>
        </x:is>
      </x:c>
      <x:c r="J58" s="10" t="inlineStr">
        <x:is>
          <x:t xml:space="preserve">Resolved</x:t>
        </x:is>
      </x:c>
      <x:c r="K58" s="11" t="inlineStr">
        <x:is>
          <x:t xml:space="preserve">L1 Global Service Desk</x:t>
        </x:is>
      </x:c>
      <x:c r="L58" s="10" t="inlineStr">
        <x:is>
          <x:t xml:space="preserve">Agent A</x:t>
        </x:is>
      </x:c>
      <x:c r="M58" s="12" t="n">
        <x:v>44</x:v>
      </x:c>
      <x:c r="N58" s="45" t="n">
        <x:v>11.2</x:v>
      </x:c>
      <x:c r="O58" s="12">
        <x:f>XLOOKUP(I58,SLA_Rules!$A$4:$A$7,SLA_Rules!$B$4:$B$7,"")</x:f>
        <x:v>24</x:v>
      </x:c>
      <x:c r="P58" s="12" t="str">
        <x:f>IF(J58&lt;&gt;"Resolved","Pending",IF(N58&lt;=O58,"Yes","No"))</x:f>
        <x:v>Yes</x:v>
      </x:c>
      <x:c r="Q58" s="10" t="inlineStr">
        <x:is>
          <x:t xml:space="preserve">No</x:t>
        </x:is>
      </x:c>
      <x:c r="R58" s="12" t="n">
        <x:v>5</x:v>
      </x:c>
      <x:c r="S58" s="11" t="inlineStr">
        <x:is>
          <x:t xml:space="preserve">Driver problem</x:t>
        </x:is>
      </x:c>
      <x:c r="T58" s="5" t="inlineStr">
        <x:is>
          <x:t xml:space="preserve">Completed identity validation and processed password reset successfully.</x:t>
        </x:is>
      </x:c>
      <x:c r="U58" s="44" t="n">
        <x:v>46097.81458333333</x:v>
      </x:c>
    </x:row>
    <x:row r="59">
      <x:c r="A59" s="8" t="inlineStr">
        <x:is>
          <x:t xml:space="preserve">INC-202603-0058</x:t>
        </x:is>
      </x:c>
      <x:c r="B59" s="44" t="n">
        <x:v>46084.54583333333</x:v>
      </x:c>
      <x:c r="C59" s="10" t="inlineStr">
        <x:is>
          <x:t xml:space="preserve">India</x:t>
        </x:is>
      </x:c>
      <x:c r="D59" s="8" t="inlineStr">
        <x:is>
          <x:t xml:space="preserve">User 058</x:t>
        </x:is>
      </x:c>
      <x:c r="E59" s="11" t="inlineStr">
        <x:is>
          <x:t xml:space="preserve">Internal Services</x:t>
        </x:is>
      </x:c>
      <x:c r="F59" s="10" t="inlineStr">
        <x:is>
          <x:t xml:space="preserve">Phone</x:t>
        </x:is>
      </x:c>
      <x:c r="G59" s="11" t="inlineStr">
        <x:is>
          <x:t xml:space="preserve">Email &amp; Outlook</x:t>
        </x:is>
      </x:c>
      <x:c r="H59" s="11" t="inlineStr">
        <x:is>
          <x:t xml:space="preserve">Attachment blocked</x:t>
        </x:is>
      </x:c>
      <x:c r="I59" s="10" t="inlineStr">
        <x:is>
          <x:t xml:space="preserve">Low</x:t>
        </x:is>
      </x:c>
      <x:c r="J59" s="10" t="inlineStr">
        <x:is>
          <x:t xml:space="preserve">In Progress</x:t>
        </x:is>
      </x:c>
      <x:c r="K59" s="11" t="inlineStr">
        <x:is>
          <x:t xml:space="preserve">L1 Identity Support</x:t>
        </x:is>
      </x:c>
      <x:c r="L59" s="10" t="inlineStr">
        <x:is>
          <x:t xml:space="preserve">Agent F</x:t>
        </x:is>
      </x:c>
      <x:c r="M59" s="12" t="n">
        <x:v>61</x:v>
      </x:c>
      <x:c r="N59" s="12" t="n"/>
      <x:c r="O59" s="12">
        <x:f>XLOOKUP(I59,SLA_Rules!$A$4:$A$7,SLA_Rules!$B$4:$B$7,"")</x:f>
        <x:v>24</x:v>
      </x:c>
      <x:c r="P59" s="12" t="str">
        <x:f>IF(J59&lt;&gt;"Resolved","Pending",IF(N59&lt;=O59,"Yes","No"))</x:f>
        <x:v>Pending</x:v>
      </x:c>
      <x:c r="Q59" s="10" t="inlineStr">
        <x:is>
          <x:t xml:space="preserve">No</x:t>
        </x:is>
      </x:c>
      <x:c r="R59" s="12" t="n"/>
      <x:c r="S59" s="11" t="inlineStr">
        <x:is>
          <x:t xml:space="preserve">Expired password</x:t>
        </x:is>
      </x:c>
      <x:c r="T59" s="5" t="inlineStr">
        <x:is>
          <x:t xml:space="preserve">Cleared profile/cache and validated mailbox connectivity with user.</x:t>
        </x:is>
      </x:c>
      <x:c r="U59" s="8" t="n"/>
    </x:row>
    <x:row r="60">
      <x:c r="A60" s="8" t="inlineStr">
        <x:is>
          <x:t xml:space="preserve">INC-202603-0059</x:t>
        </x:is>
      </x:c>
      <x:c r="B60" s="44" t="n">
        <x:v>46095.77986111111</x:v>
      </x:c>
      <x:c r="C60" s="10" t="inlineStr">
        <x:is>
          <x:t xml:space="preserve">India</x:t>
        </x:is>
      </x:c>
      <x:c r="D60" s="8" t="inlineStr">
        <x:is>
          <x:t xml:space="preserve">User 059</x:t>
        </x:is>
      </x:c>
      <x:c r="E60" s="11" t="inlineStr">
        <x:is>
          <x:t xml:space="preserve">Consulting</x:t>
        </x:is>
      </x:c>
      <x:c r="F60" s="10" t="inlineStr">
        <x:is>
          <x:t xml:space="preserve">Phone</x:t>
        </x:is>
      </x:c>
      <x:c r="G60" s="11" t="inlineStr">
        <x:is>
          <x:t xml:space="preserve">Password Reset</x:t>
        </x:is>
      </x:c>
      <x:c r="H60" s="11" t="inlineStr">
        <x:is>
          <x:t xml:space="preserve">Password expired</x:t>
        </x:is>
      </x:c>
      <x:c r="I60" s="10" t="inlineStr">
        <x:is>
          <x:t xml:space="preserve">Low</x:t>
        </x:is>
      </x:c>
      <x:c r="J60" s="10" t="inlineStr">
        <x:is>
          <x:t xml:space="preserve">Resolved</x:t>
        </x:is>
      </x:c>
      <x:c r="K60" s="11" t="inlineStr">
        <x:is>
          <x:t xml:space="preserve">L1 Global Service Desk</x:t>
        </x:is>
      </x:c>
      <x:c r="L60" s="10" t="inlineStr">
        <x:is>
          <x:t xml:space="preserve">Agent E</x:t>
        </x:is>
      </x:c>
      <x:c r="M60" s="12" t="n">
        <x:v>44</x:v>
      </x:c>
      <x:c r="N60" s="45" t="n">
        <x:v>6.9</x:v>
      </x:c>
      <x:c r="O60" s="12">
        <x:f>XLOOKUP(I60,SLA_Rules!$A$4:$A$7,SLA_Rules!$B$4:$B$7,"")</x:f>
        <x:v>24</x:v>
      </x:c>
      <x:c r="P60" s="12" t="str">
        <x:f>IF(J60&lt;&gt;"Resolved","Pending",IF(N60&lt;=O60,"Yes","No"))</x:f>
        <x:v>Yes</x:v>
      </x:c>
      <x:c r="Q60" s="10" t="inlineStr">
        <x:is>
          <x:t xml:space="preserve">No</x:t>
        </x:is>
      </x:c>
      <x:c r="R60" s="12" t="n">
        <x:v>5</x:v>
      </x:c>
      <x:c r="S60" s="11" t="inlineStr">
        <x:is>
          <x:t xml:space="preserve">Pending update</x:t>
        </x:is>
      </x:c>
      <x:c r="T60" s="5" t="inlineStr">
        <x:is>
          <x:t xml:space="preserve">Completed identity validation and processed password reset successfully.</x:t>
        </x:is>
      </x:c>
      <x:c r="U60" s="44" t="n">
        <x:v>46096.06736111111</x:v>
      </x:c>
    </x:row>
    <x:row r="61">
      <x:c r="A61" s="8" t="inlineStr">
        <x:is>
          <x:t xml:space="preserve">INC-202603-0060</x:t>
        </x:is>
      </x:c>
      <x:c r="B61" s="44" t="n">
        <x:v>46103.03958333333</x:v>
      </x:c>
      <x:c r="C61" s="10" t="inlineStr">
        <x:is>
          <x:t xml:space="preserve">India</x:t>
        </x:is>
      </x:c>
      <x:c r="D61" s="8" t="inlineStr">
        <x:is>
          <x:t xml:space="preserve">User 060</x:t>
        </x:is>
      </x:c>
      <x:c r="E61" s="11" t="inlineStr">
        <x:is>
          <x:t xml:space="preserve">Internal Services</x:t>
        </x:is>
      </x:c>
      <x:c r="F61" s="10" t="inlineStr">
        <x:is>
          <x:t xml:space="preserve">Email</x:t>
        </x:is>
      </x:c>
      <x:c r="G61" s="11" t="inlineStr">
        <x:is>
          <x:t xml:space="preserve">Software &amp; Application</x:t>
        </x:is>
      </x:c>
      <x:c r="H61" s="11" t="inlineStr">
        <x:is>
          <x:t xml:space="preserve">Install failed</x:t>
        </x:is>
      </x:c>
      <x:c r="I61" s="10" t="inlineStr">
        <x:is>
          <x:t xml:space="preserve">Medium</x:t>
        </x:is>
      </x:c>
      <x:c r="J61" s="10" t="inlineStr">
        <x:is>
          <x:t xml:space="preserve">Open</x:t>
        </x:is>
      </x:c>
      <x:c r="K61" s="11" t="inlineStr">
        <x:is>
          <x:t xml:space="preserve">L1 Endpoint Support</x:t>
        </x:is>
      </x:c>
      <x:c r="L61" s="10" t="inlineStr">
        <x:is>
          <x:t xml:space="preserve">Agent C</x:t>
        </x:is>
      </x:c>
      <x:c r="M61" s="12" t="n">
        <x:v>77</x:v>
      </x:c>
      <x:c r="N61" s="12" t="n"/>
      <x:c r="O61" s="12">
        <x:f>XLOOKUP(I61,SLA_Rules!$A$4:$A$7,SLA_Rules!$B$4:$B$7,"")</x:f>
        <x:v>16</x:v>
      </x:c>
      <x:c r="P61" s="12" t="str">
        <x:f>IF(J61&lt;&gt;"Resolved","Pending",IF(N61&lt;=O61,"Yes","No"))</x:f>
        <x:v>Pending</x:v>
      </x:c>
      <x:c r="Q61" s="10" t="inlineStr">
        <x:is>
          <x:t xml:space="preserve">No</x:t>
        </x:is>
      </x:c>
      <x:c r="R61" s="12" t="n"/>
      <x:c r="S61" s="11" t="inlineStr">
        <x:is>
          <x:t xml:space="preserve">Driver problem</x:t>
        </x:is>
      </x:c>
      <x:c r="T61" s="5" t="inlineStr">
        <x:is>
          <x:t xml:space="preserve">Validated installation/configuration and completed application repair steps.</x:t>
        </x:is>
      </x:c>
      <x:c r="U61" s="8" t="n"/>
    </x:row>
    <x:row r="62">
      <x:c r="A62" s="8" t="inlineStr">
        <x:is>
          <x:t xml:space="preserve">INC-202603-0061</x:t>
        </x:is>
      </x:c>
      <x:c r="B62" s="44" t="n">
        <x:v>46091.26666666667</x:v>
      </x:c>
      <x:c r="C62" s="10" t="inlineStr">
        <x:is>
          <x:t xml:space="preserve">India</x:t>
        </x:is>
      </x:c>
      <x:c r="D62" s="8" t="inlineStr">
        <x:is>
          <x:t xml:space="preserve">User 061</x:t>
        </x:is>
      </x:c>
      <x:c r="E62" s="11" t="inlineStr">
        <x:is>
          <x:t xml:space="preserve">Internal Services</x:t>
        </x:is>
      </x:c>
      <x:c r="F62" s="10" t="inlineStr">
        <x:is>
          <x:t xml:space="preserve">Web Ticket</x:t>
        </x:is>
      </x:c>
      <x:c r="G62" s="11" t="inlineStr">
        <x:is>
          <x:t xml:space="preserve">Login &amp; Access</x:t>
        </x:is>
      </x:c>
      <x:c r="H62" s="11" t="inlineStr">
        <x:is>
          <x:t xml:space="preserve">Access denied</x:t>
        </x:is>
      </x:c>
      <x:c r="I62" s="10" t="inlineStr">
        <x:is>
          <x:t xml:space="preserve">Medium</x:t>
        </x:is>
      </x:c>
      <x:c r="J62" s="10" t="inlineStr">
        <x:is>
          <x:t xml:space="preserve">Pending User</x:t>
        </x:is>
      </x:c>
      <x:c r="K62" s="11" t="inlineStr">
        <x:is>
          <x:t xml:space="preserve">L1 Identity Support</x:t>
        </x:is>
      </x:c>
      <x:c r="L62" s="10" t="inlineStr">
        <x:is>
          <x:t xml:space="preserve">Agent G</x:t>
        </x:is>
      </x:c>
      <x:c r="M62" s="12" t="n">
        <x:v>79</x:v>
      </x:c>
      <x:c r="N62" s="12" t="n"/>
      <x:c r="O62" s="12">
        <x:f>XLOOKUP(I62,SLA_Rules!$A$4:$A$7,SLA_Rules!$B$4:$B$7,"")</x:f>
        <x:v>16</x:v>
      </x:c>
      <x:c r="P62" s="12" t="str">
        <x:f>IF(J62&lt;&gt;"Resolved","Pending",IF(N62&lt;=O62,"Yes","No"))</x:f>
        <x:v>Pending</x:v>
      </x:c>
      <x:c r="Q62" s="10" t="inlineStr">
        <x:is>
          <x:t xml:space="preserve">Yes</x:t>
        </x:is>
      </x:c>
      <x:c r="R62" s="12" t="n"/>
      <x:c r="S62" s="11" t="inlineStr">
        <x:is>
          <x:t xml:space="preserve">Pending update</x:t>
        </x:is>
      </x:c>
      <x:c r="T62" s="5" t="inlineStr">
        <x:is>
          <x:t xml:space="preserve">Validated identity, restored access path, and confirmed successful login.</x:t>
        </x:is>
      </x:c>
      <x:c r="U62" s="8" t="n"/>
    </x:row>
    <x:row r="63">
      <x:c r="A63" s="8" t="inlineStr">
        <x:is>
          <x:t xml:space="preserve">INC-202603-0062</x:t>
        </x:is>
      </x:c>
      <x:c r="B63" s="44" t="n">
        <x:v>46100.90902777778</x:v>
      </x:c>
      <x:c r="C63" s="10" t="inlineStr">
        <x:is>
          <x:t xml:space="preserve">India</x:t>
        </x:is>
      </x:c>
      <x:c r="D63" s="8" t="inlineStr">
        <x:is>
          <x:t xml:space="preserve">User 062</x:t>
        </x:is>
      </x:c>
      <x:c r="E63" s="11" t="inlineStr">
        <x:is>
          <x:t xml:space="preserve">HR</x:t>
        </x:is>
      </x:c>
      <x:c r="F63" s="10" t="inlineStr">
        <x:is>
          <x:t xml:space="preserve">Web Ticket</x:t>
        </x:is>
      </x:c>
      <x:c r="G63" s="11" t="inlineStr">
        <x:is>
          <x:t xml:space="preserve">Software &amp; Application</x:t>
        </x:is>
      </x:c>
      <x:c r="H63" s="11" t="inlineStr">
        <x:is>
          <x:t xml:space="preserve">Update failure</x:t>
        </x:is>
      </x:c>
      <x:c r="I63" s="10" t="inlineStr">
        <x:is>
          <x:t xml:space="preserve">High</x:t>
        </x:is>
      </x:c>
      <x:c r="J63" s="10" t="inlineStr">
        <x:is>
          <x:t xml:space="preserve">Pending User</x:t>
        </x:is>
      </x:c>
      <x:c r="K63" s="11" t="inlineStr">
        <x:is>
          <x:t xml:space="preserve">L1 Messaging Support</x:t>
        </x:is>
      </x:c>
      <x:c r="L63" s="10" t="inlineStr">
        <x:is>
          <x:t xml:space="preserve">Agent A</x:t>
        </x:is>
      </x:c>
      <x:c r="M63" s="12" t="n">
        <x:v>12</x:v>
      </x:c>
      <x:c r="N63" s="12" t="n"/>
      <x:c r="O63" s="12">
        <x:f>XLOOKUP(I63,SLA_Rules!$A$4:$A$7,SLA_Rules!$B$4:$B$7,"")</x:f>
        <x:v>8</x:v>
      </x:c>
      <x:c r="P63" s="12" t="str">
        <x:f>IF(J63&lt;&gt;"Resolved","Pending",IF(N63&lt;=O63,"Yes","No"))</x:f>
        <x:v>Pending</x:v>
      </x:c>
      <x:c r="Q63" s="10" t="inlineStr">
        <x:is>
          <x:t xml:space="preserve">No</x:t>
        </x:is>
      </x:c>
      <x:c r="R63" s="12" t="n"/>
      <x:c r="S63" s="11" t="inlineStr">
        <x:is>
          <x:t xml:space="preserve">Expired password</x:t>
        </x:is>
      </x:c>
      <x:c r="T63" s="5" t="inlineStr">
        <x:is>
          <x:t xml:space="preserve">Validated installation/configuration and completed application repair steps.</x:t>
        </x:is>
      </x:c>
      <x:c r="U63" s="8" t="n"/>
    </x:row>
    <x:row r="64">
      <x:c r="A64" s="8" t="inlineStr">
        <x:is>
          <x:t xml:space="preserve">INC-202603-0063</x:t>
        </x:is>
      </x:c>
      <x:c r="B64" s="44" t="n">
        <x:v>46085.86180555556</x:v>
      </x:c>
      <x:c r="C64" s="10" t="inlineStr">
        <x:is>
          <x:t xml:space="preserve">India</x:t>
        </x:is>
      </x:c>
      <x:c r="D64" s="8" t="inlineStr">
        <x:is>
          <x:t xml:space="preserve">User 063</x:t>
        </x:is>
      </x:c>
      <x:c r="E64" s="11" t="inlineStr">
        <x:is>
          <x:t xml:space="preserve">Internal Services</x:t>
        </x:is>
      </x:c>
      <x:c r="F64" s="10" t="inlineStr">
        <x:is>
          <x:t xml:space="preserve">Phone</x:t>
        </x:is>
      </x:c>
      <x:c r="G64" s="11" t="inlineStr">
        <x:is>
          <x:t xml:space="preserve">Hardware</x:t>
        </x:is>
      </x:c>
      <x:c r="H64" s="11" t="inlineStr">
        <x:is>
          <x:t xml:space="preserve">Webcam not detected</x:t>
        </x:is>
      </x:c>
      <x:c r="I64" s="10" t="inlineStr">
        <x:is>
          <x:t xml:space="preserve">High</x:t>
        </x:is>
      </x:c>
      <x:c r="J64" s="10" t="inlineStr">
        <x:is>
          <x:t xml:space="preserve">In Progress</x:t>
        </x:is>
      </x:c>
      <x:c r="K64" s="11" t="inlineStr">
        <x:is>
          <x:t xml:space="preserve">L1 Identity Support</x:t>
        </x:is>
      </x:c>
      <x:c r="L64" s="10" t="inlineStr">
        <x:is>
          <x:t xml:space="preserve">Agent F</x:t>
        </x:is>
      </x:c>
      <x:c r="M64" s="12" t="n">
        <x:v>11</x:v>
      </x:c>
      <x:c r="N64" s="12" t="n"/>
      <x:c r="O64" s="12">
        <x:f>XLOOKUP(I64,SLA_Rules!$A$4:$A$7,SLA_Rules!$B$4:$B$7,"")</x:f>
        <x:v>8</x:v>
      </x:c>
      <x:c r="P64" s="12" t="str">
        <x:f>IF(J64&lt;&gt;"Resolved","Pending",IF(N64&lt;=O64,"Yes","No"))</x:f>
        <x:v>Pending</x:v>
      </x:c>
      <x:c r="Q64" s="10" t="inlineStr">
        <x:is>
          <x:t xml:space="preserve">Yes</x:t>
        </x:is>
      </x:c>
      <x:c r="R64" s="12" t="n"/>
      <x:c r="S64" s="11" t="inlineStr">
        <x:is>
          <x:t xml:space="preserve">Permission mismatch</x:t>
        </x:is>
      </x:c>
      <x:c r="T64" s="5" t="inlineStr">
        <x:is>
          <x:t xml:space="preserve">Ran endpoint checks and provided workaround or hardware escalation as needed.</x:t>
        </x:is>
      </x:c>
      <x:c r="U64" s="8" t="n"/>
    </x:row>
    <x:row r="65">
      <x:c r="A65" s="8" t="inlineStr">
        <x:is>
          <x:t xml:space="preserve">INC-202603-0064</x:t>
        </x:is>
      </x:c>
      <x:c r="B65" s="44" t="n">
        <x:v>46107.74722222222</x:v>
      </x:c>
      <x:c r="C65" s="10" t="inlineStr">
        <x:is>
          <x:t xml:space="preserve">India</x:t>
        </x:is>
      </x:c>
      <x:c r="D65" s="8" t="inlineStr">
        <x:is>
          <x:t xml:space="preserve">User 064</x:t>
        </x:is>
      </x:c>
      <x:c r="E65" s="11" t="inlineStr">
        <x:is>
          <x:t xml:space="preserve">Consulting</x:t>
        </x:is>
      </x:c>
      <x:c r="F65" s="10" t="inlineStr">
        <x:is>
          <x:t xml:space="preserve">Chat</x:t>
        </x:is>
      </x:c>
      <x:c r="G65" s="11" t="inlineStr">
        <x:is>
          <x:t xml:space="preserve">Login &amp; Access</x:t>
        </x:is>
      </x:c>
      <x:c r="H65" s="11" t="inlineStr">
        <x:is>
          <x:t xml:space="preserve">MFA prompt loop</x:t>
        </x:is>
      </x:c>
      <x:c r="I65" s="10" t="inlineStr">
        <x:is>
          <x:t xml:space="preserve">High</x:t>
        </x:is>
      </x:c>
      <x:c r="J65" s="10" t="inlineStr">
        <x:is>
          <x:t xml:space="preserve">Resolved</x:t>
        </x:is>
      </x:c>
      <x:c r="K65" s="11" t="inlineStr">
        <x:is>
          <x:t xml:space="preserve">L1 Global Service Desk</x:t>
        </x:is>
      </x:c>
      <x:c r="L65" s="10" t="inlineStr">
        <x:is>
          <x:t xml:space="preserve">Agent B</x:t>
        </x:is>
      </x:c>
      <x:c r="M65" s="12" t="n">
        <x:v>23</x:v>
      </x:c>
      <x:c r="N65" s="45" t="n">
        <x:v>8.199999999999999</x:v>
      </x:c>
      <x:c r="O65" s="12">
        <x:f>XLOOKUP(I65,SLA_Rules!$A$4:$A$7,SLA_Rules!$B$4:$B$7,"")</x:f>
        <x:v>8</x:v>
      </x:c>
      <x:c r="P65" s="12" t="str">
        <x:f>IF(J65&lt;&gt;"Resolved","Pending",IF(N65&lt;=O65,"Yes","No"))</x:f>
        <x:v>No</x:v>
      </x:c>
      <x:c r="Q65" s="10" t="inlineStr">
        <x:is>
          <x:t xml:space="preserve">Yes</x:t>
        </x:is>
      </x:c>
      <x:c r="R65" s="12" t="n">
        <x:v>5</x:v>
      </x:c>
      <x:c r="S65" s="11" t="inlineStr">
        <x:is>
          <x:t xml:space="preserve">Expired password</x:t>
        </x:is>
      </x:c>
      <x:c r="T65" s="5" t="inlineStr">
        <x:is>
          <x:t xml:space="preserve">Validated identity, restored access path, and confirmed successful login.</x:t>
        </x:is>
      </x:c>
      <x:c r="U65" s="44" t="n">
        <x:v>46108.08888888889</x:v>
      </x:c>
    </x:row>
    <x:row r="66">
      <x:c r="A66" s="8" t="inlineStr">
        <x:is>
          <x:t xml:space="preserve">INC-202603-0065</x:t>
        </x:is>
      </x:c>
      <x:c r="B66" s="44" t="n">
        <x:v>46112.32986111111</x:v>
      </x:c>
      <x:c r="C66" s="10" t="inlineStr">
        <x:is>
          <x:t xml:space="preserve">India</x:t>
        </x:is>
      </x:c>
      <x:c r="D66" s="8" t="inlineStr">
        <x:is>
          <x:t xml:space="preserve">User 065</x:t>
        </x:is>
      </x:c>
      <x:c r="E66" s="11" t="inlineStr">
        <x:is>
          <x:t xml:space="preserve">Tax</x:t>
        </x:is>
      </x:c>
      <x:c r="F66" s="10" t="inlineStr">
        <x:is>
          <x:t xml:space="preserve">Phone</x:t>
        </x:is>
      </x:c>
      <x:c r="G66" s="11" t="inlineStr">
        <x:is>
          <x:t xml:space="preserve">Password Reset</x:t>
        </x:is>
      </x:c>
      <x:c r="H66" s="11" t="inlineStr">
        <x:is>
          <x:t xml:space="preserve">Password policy error</x:t>
        </x:is>
      </x:c>
      <x:c r="I66" s="10" t="inlineStr">
        <x:is>
          <x:t xml:space="preserve">Low</x:t>
        </x:is>
      </x:c>
      <x:c r="J66" s="10" t="inlineStr">
        <x:is>
          <x:t xml:space="preserve">Resolved</x:t>
        </x:is>
      </x:c>
      <x:c r="K66" s="11" t="inlineStr">
        <x:is>
          <x:t xml:space="preserve">L1 Global Service Desk</x:t>
        </x:is>
      </x:c>
      <x:c r="L66" s="10" t="inlineStr">
        <x:is>
          <x:t xml:space="preserve">Agent G</x:t>
        </x:is>
      </x:c>
      <x:c r="M66" s="12" t="n">
        <x:v>125</x:v>
      </x:c>
      <x:c r="N66" s="45" t="n">
        <x:v>16.5</x:v>
      </x:c>
      <x:c r="O66" s="12">
        <x:f>XLOOKUP(I66,SLA_Rules!$A$4:$A$7,SLA_Rules!$B$4:$B$7,"")</x:f>
        <x:v>24</x:v>
      </x:c>
      <x:c r="P66" s="12" t="str">
        <x:f>IF(J66&lt;&gt;"Resolved","Pending",IF(N66&lt;=O66,"Yes","No"))</x:f>
        <x:v>Yes</x:v>
      </x:c>
      <x:c r="Q66" s="10" t="inlineStr">
        <x:is>
          <x:t xml:space="preserve">No</x:t>
        </x:is>
      </x:c>
      <x:c r="R66" s="12" t="n">
        <x:v>5</x:v>
      </x:c>
      <x:c r="S66" s="11" t="inlineStr">
        <x:is>
          <x:t xml:space="preserve">Driver problem</x:t>
        </x:is>
      </x:c>
      <x:c r="T66" s="5" t="inlineStr">
        <x:is>
          <x:t xml:space="preserve">Completed identity validation and processed password reset successfully.</x:t>
        </x:is>
      </x:c>
      <x:c r="U66" s="44" t="n">
        <x:v>46113.01736111111</x:v>
      </x:c>
    </x:row>
    <x:row r="67">
      <x:c r="A67" s="8" t="inlineStr">
        <x:is>
          <x:t xml:space="preserve">INC-202603-0066</x:t>
        </x:is>
      </x:c>
      <x:c r="B67" s="44" t="n">
        <x:v>46108.84930555556</x:v>
      </x:c>
      <x:c r="C67" s="10" t="inlineStr">
        <x:is>
          <x:t xml:space="preserve">India</x:t>
        </x:is>
      </x:c>
      <x:c r="D67" s="8" t="inlineStr">
        <x:is>
          <x:t xml:space="preserve">User 066</x:t>
        </x:is>
      </x:c>
      <x:c r="E67" s="11" t="inlineStr">
        <x:is>
          <x:t xml:space="preserve">Internal Services</x:t>
        </x:is>
      </x:c>
      <x:c r="F67" s="10" t="inlineStr">
        <x:is>
          <x:t xml:space="preserve">Phone</x:t>
        </x:is>
      </x:c>
      <x:c r="G67" s="11" t="inlineStr">
        <x:is>
          <x:t xml:space="preserve">Email &amp; Outlook</x:t>
        </x:is>
      </x:c>
      <x:c r="H67" s="11" t="inlineStr">
        <x:is>
          <x:t xml:space="preserve">Calendar invite issue</x:t>
        </x:is>
      </x:c>
      <x:c r="I67" s="10" t="inlineStr">
        <x:is>
          <x:t xml:space="preserve">Medium</x:t>
        </x:is>
      </x:c>
      <x:c r="J67" s="10" t="inlineStr">
        <x:is>
          <x:t xml:space="preserve">Resolved</x:t>
        </x:is>
      </x:c>
      <x:c r="K67" s="11" t="inlineStr">
        <x:is>
          <x:t xml:space="preserve">L1 Network Support</x:t>
        </x:is>
      </x:c>
      <x:c r="L67" s="10" t="inlineStr">
        <x:is>
          <x:t xml:space="preserve">Agent D</x:t>
        </x:is>
      </x:c>
      <x:c r="M67" s="12" t="n">
        <x:v>15</x:v>
      </x:c>
      <x:c r="N67" s="45" t="n">
        <x:v>5.4</x:v>
      </x:c>
      <x:c r="O67" s="12">
        <x:f>XLOOKUP(I67,SLA_Rules!$A$4:$A$7,SLA_Rules!$B$4:$B$7,"")</x:f>
        <x:v>16</x:v>
      </x:c>
      <x:c r="P67" s="12" t="str">
        <x:f>IF(J67&lt;&gt;"Resolved","Pending",IF(N67&lt;=O67,"Yes","No"))</x:f>
        <x:v>Yes</x:v>
      </x:c>
      <x:c r="Q67" s="10" t="inlineStr">
        <x:is>
          <x:t xml:space="preserve">No</x:t>
        </x:is>
      </x:c>
      <x:c r="R67" s="12" t="n">
        <x:v>5</x:v>
      </x:c>
      <x:c r="S67" s="11" t="inlineStr">
        <x:is>
          <x:t xml:space="preserve">Driver problem</x:t>
        </x:is>
      </x:c>
      <x:c r="T67" s="5" t="inlineStr">
        <x:is>
          <x:t xml:space="preserve">Cleared profile/cache and validated mailbox connectivity with user.</x:t>
        </x:is>
      </x:c>
      <x:c r="U67" s="44" t="n">
        <x:v>46109.07430555556</x:v>
      </x:c>
    </x:row>
    <x:row r="68">
      <x:c r="A68" s="8" t="inlineStr">
        <x:is>
          <x:t xml:space="preserve">INC-202603-0067</x:t>
        </x:is>
      </x:c>
      <x:c r="B68" s="44" t="n">
        <x:v>46086.04305555556</x:v>
      </x:c>
      <x:c r="C68" s="10" t="inlineStr">
        <x:is>
          <x:t xml:space="preserve">UK</x:t>
        </x:is>
      </x:c>
      <x:c r="D68" s="8" t="inlineStr">
        <x:is>
          <x:t xml:space="preserve">User 067</x:t>
        </x:is>
      </x:c>
      <x:c r="E68" s="11" t="inlineStr">
        <x:is>
          <x:t xml:space="preserve">Internal Services</x:t>
        </x:is>
      </x:c>
      <x:c r="F68" s="10" t="inlineStr">
        <x:is>
          <x:t xml:space="preserve">Email</x:t>
        </x:is>
      </x:c>
      <x:c r="G68" s="11" t="inlineStr">
        <x:is>
          <x:t xml:space="preserve">Email &amp; Outlook</x:t>
        </x:is>
      </x:c>
      <x:c r="H68" s="11" t="inlineStr">
        <x:is>
          <x:t xml:space="preserve">Search not working</x:t>
        </x:is>
      </x:c>
      <x:c r="I68" s="10" t="inlineStr">
        <x:is>
          <x:t xml:space="preserve">Medium</x:t>
        </x:is>
      </x:c>
      <x:c r="J68" s="10" t="inlineStr">
        <x:is>
          <x:t xml:space="preserve">Resolved</x:t>
        </x:is>
      </x:c>
      <x:c r="K68" s="11" t="inlineStr">
        <x:is>
          <x:t xml:space="preserve">L1 Endpoint Support</x:t>
        </x:is>
      </x:c>
      <x:c r="L68" s="10" t="inlineStr">
        <x:is>
          <x:t xml:space="preserve">Agent A</x:t>
        </x:is>
      </x:c>
      <x:c r="M68" s="12" t="n">
        <x:v>24</x:v>
      </x:c>
      <x:c r="N68" s="45" t="n">
        <x:v>8.699999999999999</x:v>
      </x:c>
      <x:c r="O68" s="12">
        <x:f>XLOOKUP(I68,SLA_Rules!$A$4:$A$7,SLA_Rules!$B$4:$B$7,"")</x:f>
        <x:v>16</x:v>
      </x:c>
      <x:c r="P68" s="12" t="str">
        <x:f>IF(J68&lt;&gt;"Resolved","Pending",IF(N68&lt;=O68,"Yes","No"))</x:f>
        <x:v>Yes</x:v>
      </x:c>
      <x:c r="Q68" s="10" t="inlineStr">
        <x:is>
          <x:t xml:space="preserve">No</x:t>
        </x:is>
      </x:c>
      <x:c r="R68" s="12" t="n">
        <x:v>4</x:v>
      </x:c>
      <x:c r="S68" s="11" t="inlineStr">
        <x:is>
          <x:t xml:space="preserve">Driver problem</x:t>
        </x:is>
      </x:c>
      <x:c r="T68" s="5" t="inlineStr">
        <x:is>
          <x:t xml:space="preserve">Cleared profile/cache and validated mailbox connectivity with user.</x:t>
        </x:is>
      </x:c>
      <x:c r="U68" s="44" t="n">
        <x:v>46086.40555555555</x:v>
      </x:c>
    </x:row>
    <x:row r="69">
      <x:c r="A69" s="8" t="inlineStr">
        <x:is>
          <x:t xml:space="preserve">INC-202603-0068</x:t>
        </x:is>
      </x:c>
      <x:c r="B69" s="44" t="n">
        <x:v>46102.16180555556</x:v>
      </x:c>
      <x:c r="C69" s="10" t="inlineStr">
        <x:is>
          <x:t xml:space="preserve">UK</x:t>
        </x:is>
      </x:c>
      <x:c r="D69" s="8" t="inlineStr">
        <x:is>
          <x:t xml:space="preserve">User 068</x:t>
        </x:is>
      </x:c>
      <x:c r="E69" s="11" t="inlineStr">
        <x:is>
          <x:t xml:space="preserve">HR</x:t>
        </x:is>
      </x:c>
      <x:c r="F69" s="10" t="inlineStr">
        <x:is>
          <x:t xml:space="preserve">Web Ticket</x:t>
        </x:is>
      </x:c>
      <x:c r="G69" s="11" t="inlineStr">
        <x:is>
          <x:t xml:space="preserve">Login &amp; Access</x:t>
        </x:is>
      </x:c>
      <x:c r="H69" s="11" t="inlineStr">
        <x:is>
          <x:t xml:space="preserve">Access denied</x:t>
        </x:is>
      </x:c>
      <x:c r="I69" s="10" t="inlineStr">
        <x:is>
          <x:t xml:space="preserve">Medium</x:t>
        </x:is>
      </x:c>
      <x:c r="J69" s="10" t="inlineStr">
        <x:is>
          <x:t xml:space="preserve">Resolved</x:t>
        </x:is>
      </x:c>
      <x:c r="K69" s="11" t="inlineStr">
        <x:is>
          <x:t xml:space="preserve">L1 Global Service Desk</x:t>
        </x:is>
      </x:c>
      <x:c r="L69" s="10" t="inlineStr">
        <x:is>
          <x:t xml:space="preserve">Agent D</x:t>
        </x:is>
      </x:c>
      <x:c r="M69" s="12" t="n">
        <x:v>47</x:v>
      </x:c>
      <x:c r="N69" s="45" t="n">
        <x:v>7.6</x:v>
      </x:c>
      <x:c r="O69" s="12">
        <x:f>XLOOKUP(I69,SLA_Rules!$A$4:$A$7,SLA_Rules!$B$4:$B$7,"")</x:f>
        <x:v>16</x:v>
      </x:c>
      <x:c r="P69" s="12" t="str">
        <x:f>IF(J69&lt;&gt;"Resolved","Pending",IF(N69&lt;=O69,"Yes","No"))</x:f>
        <x:v>Yes</x:v>
      </x:c>
      <x:c r="Q69" s="10" t="inlineStr">
        <x:is>
          <x:t xml:space="preserve">No</x:t>
        </x:is>
      </x:c>
      <x:c r="R69" s="12" t="n">
        <x:v>3</x:v>
      </x:c>
      <x:c r="S69" s="11" t="inlineStr">
        <x:is>
          <x:t xml:space="preserve">Application cache</x:t>
        </x:is>
      </x:c>
      <x:c r="T69" s="5" t="inlineStr">
        <x:is>
          <x:t xml:space="preserve">Validated identity, restored access path, and confirmed successful login.</x:t>
        </x:is>
      </x:c>
      <x:c r="U69" s="44" t="n">
        <x:v>46102.47847222222</x:v>
      </x:c>
    </x:row>
    <x:row r="70">
      <x:c r="A70" s="8" t="inlineStr">
        <x:is>
          <x:t xml:space="preserve">INC-202603-0069</x:t>
        </x:is>
      </x:c>
      <x:c r="B70" s="44" t="n">
        <x:v>46090.25486111111</x:v>
      </x:c>
      <x:c r="C70" s="10" t="inlineStr">
        <x:is>
          <x:t xml:space="preserve">India</x:t>
        </x:is>
      </x:c>
      <x:c r="D70" s="8" t="inlineStr">
        <x:is>
          <x:t xml:space="preserve">User 069</x:t>
        </x:is>
      </x:c>
      <x:c r="E70" s="11" t="inlineStr">
        <x:is>
          <x:t xml:space="preserve">Finance</x:t>
        </x:is>
      </x:c>
      <x:c r="F70" s="10" t="inlineStr">
        <x:is>
          <x:t xml:space="preserve">Chat</x:t>
        </x:is>
      </x:c>
      <x:c r="G70" s="11" t="inlineStr">
        <x:is>
          <x:t xml:space="preserve">Login &amp; Access</x:t>
        </x:is>
      </x:c>
      <x:c r="H70" s="11" t="inlineStr">
        <x:is>
          <x:t xml:space="preserve">Access denied</x:t>
        </x:is>
      </x:c>
      <x:c r="I70" s="10" t="inlineStr">
        <x:is>
          <x:t xml:space="preserve">High</x:t>
        </x:is>
      </x:c>
      <x:c r="J70" s="10" t="inlineStr">
        <x:is>
          <x:t xml:space="preserve">Open</x:t>
        </x:is>
      </x:c>
      <x:c r="K70" s="11" t="inlineStr">
        <x:is>
          <x:t xml:space="preserve">L1 Global Service Desk</x:t>
        </x:is>
      </x:c>
      <x:c r="L70" s="10" t="inlineStr">
        <x:is>
          <x:t xml:space="preserve">Agent D</x:t>
        </x:is>
      </x:c>
      <x:c r="M70" s="12" t="n">
        <x:v>38</x:v>
      </x:c>
      <x:c r="N70" s="12" t="n"/>
      <x:c r="O70" s="12">
        <x:f>XLOOKUP(I70,SLA_Rules!$A$4:$A$7,SLA_Rules!$B$4:$B$7,"")</x:f>
        <x:v>8</x:v>
      </x:c>
      <x:c r="P70" s="12" t="str">
        <x:f>IF(J70&lt;&gt;"Resolved","Pending",IF(N70&lt;=O70,"Yes","No"))</x:f>
        <x:v>Pending</x:v>
      </x:c>
      <x:c r="Q70" s="10" t="inlineStr">
        <x:is>
          <x:t xml:space="preserve">Yes</x:t>
        </x:is>
      </x:c>
      <x:c r="R70" s="12" t="n"/>
      <x:c r="S70" s="11" t="inlineStr">
        <x:is>
          <x:t xml:space="preserve">Network instability</x:t>
        </x:is>
      </x:c>
      <x:c r="T70" s="5" t="inlineStr">
        <x:is>
          <x:t xml:space="preserve">Validated identity, restored access path, and confirmed successful login.</x:t>
        </x:is>
      </x:c>
      <x:c r="U70" s="8" t="n"/>
    </x:row>
    <x:row r="71">
      <x:c r="A71" s="8" t="inlineStr">
        <x:is>
          <x:t xml:space="preserve">INC-202603-0070</x:t>
        </x:is>
      </x:c>
      <x:c r="B71" s="44" t="n">
        <x:v>46106.71736111111</x:v>
      </x:c>
      <x:c r="C71" s="10" t="inlineStr">
        <x:is>
          <x:t xml:space="preserve">India</x:t>
        </x:is>
      </x:c>
      <x:c r="D71" s="8" t="inlineStr">
        <x:is>
          <x:t xml:space="preserve">User 070</x:t>
        </x:is>
      </x:c>
      <x:c r="E71" s="11" t="inlineStr">
        <x:is>
          <x:t xml:space="preserve">Risk Advisory</x:t>
        </x:is>
      </x:c>
      <x:c r="F71" s="10" t="inlineStr">
        <x:is>
          <x:t xml:space="preserve">Web Ticket</x:t>
        </x:is>
      </x:c>
      <x:c r="G71" s="11" t="inlineStr">
        <x:is>
          <x:t xml:space="preserve">Software &amp; Application</x:t>
        </x:is>
      </x:c>
      <x:c r="H71" s="11" t="inlineStr">
        <x:is>
          <x:t xml:space="preserve">Update failure</x:t>
        </x:is>
      </x:c>
      <x:c r="I71" s="10" t="inlineStr">
        <x:is>
          <x:t xml:space="preserve">Medium</x:t>
        </x:is>
      </x:c>
      <x:c r="J71" s="10" t="inlineStr">
        <x:is>
          <x:t xml:space="preserve">Resolved</x:t>
        </x:is>
      </x:c>
      <x:c r="K71" s="11" t="inlineStr">
        <x:is>
          <x:t xml:space="preserve">L1 Global Service Desk</x:t>
        </x:is>
      </x:c>
      <x:c r="L71" s="10" t="inlineStr">
        <x:is>
          <x:t xml:space="preserve">Agent G</x:t>
        </x:is>
      </x:c>
      <x:c r="M71" s="12" t="n">
        <x:v>41</x:v>
      </x:c>
      <x:c r="N71" s="45" t="n">
        <x:v>12.8</x:v>
      </x:c>
      <x:c r="O71" s="12">
        <x:f>XLOOKUP(I71,SLA_Rules!$A$4:$A$7,SLA_Rules!$B$4:$B$7,"")</x:f>
        <x:v>16</x:v>
      </x:c>
      <x:c r="P71" s="12" t="str">
        <x:f>IF(J71&lt;&gt;"Resolved","Pending",IF(N71&lt;=O71,"Yes","No"))</x:f>
        <x:v>Yes</x:v>
      </x:c>
      <x:c r="Q71" s="10" t="inlineStr">
        <x:is>
          <x:t xml:space="preserve">No</x:t>
        </x:is>
      </x:c>
      <x:c r="R71" s="12" t="n">
        <x:v>4</x:v>
      </x:c>
      <x:c r="S71" s="11" t="inlineStr">
        <x:is>
          <x:t xml:space="preserve">Configuration drift</x:t>
        </x:is>
      </x:c>
      <x:c r="T71" s="5" t="inlineStr">
        <x:is>
          <x:t xml:space="preserve">Validated installation/configuration and completed application repair steps.</x:t>
        </x:is>
      </x:c>
      <x:c r="U71" s="44" t="n">
        <x:v>46107.25069444445</x:v>
      </x:c>
    </x:row>
    <x:row r="72">
      <x:c r="A72" s="8" t="inlineStr">
        <x:is>
          <x:t xml:space="preserve">INC-202603-0071</x:t>
        </x:is>
      </x:c>
      <x:c r="B72" s="44" t="n">
        <x:v>46103.00555555556</x:v>
      </x:c>
      <x:c r="C72" s="10" t="inlineStr">
        <x:is>
          <x:t xml:space="preserve">APAC</x:t>
        </x:is>
      </x:c>
      <x:c r="D72" s="8" t="inlineStr">
        <x:is>
          <x:t xml:space="preserve">User 071</x:t>
        </x:is>
      </x:c>
      <x:c r="E72" s="11" t="inlineStr">
        <x:is>
          <x:t xml:space="preserve">Internal Services</x:t>
        </x:is>
      </x:c>
      <x:c r="F72" s="10" t="inlineStr">
        <x:is>
          <x:t xml:space="preserve">Web Ticket</x:t>
        </x:is>
      </x:c>
      <x:c r="G72" s="11" t="inlineStr">
        <x:is>
          <x:t xml:space="preserve">Hardware</x:t>
        </x:is>
      </x:c>
      <x:c r="H72" s="11" t="inlineStr">
        <x:is>
          <x:t xml:space="preserve">Blue screen</x:t>
        </x:is>
      </x:c>
      <x:c r="I72" s="10" t="inlineStr">
        <x:is>
          <x:t xml:space="preserve">Low</x:t>
        </x:is>
      </x:c>
      <x:c r="J72" s="10" t="inlineStr">
        <x:is>
          <x:t xml:space="preserve">Resolved</x:t>
        </x:is>
      </x:c>
      <x:c r="K72" s="11" t="inlineStr">
        <x:is>
          <x:t xml:space="preserve">L1 Identity Support</x:t>
        </x:is>
      </x:c>
      <x:c r="L72" s="10" t="inlineStr">
        <x:is>
          <x:t xml:space="preserve">Agent A</x:t>
        </x:is>
      </x:c>
      <x:c r="M72" s="12" t="n">
        <x:v>84</x:v>
      </x:c>
      <x:c r="N72" s="45" t="n">
        <x:v>18.8</x:v>
      </x:c>
      <x:c r="O72" s="12">
        <x:f>XLOOKUP(I72,SLA_Rules!$A$4:$A$7,SLA_Rules!$B$4:$B$7,"")</x:f>
        <x:v>24</x:v>
      </x:c>
      <x:c r="P72" s="12" t="str">
        <x:f>IF(J72&lt;&gt;"Resolved","Pending",IF(N72&lt;=O72,"Yes","No"))</x:f>
        <x:v>Yes</x:v>
      </x:c>
      <x:c r="Q72" s="10" t="inlineStr">
        <x:is>
          <x:t xml:space="preserve">No</x:t>
        </x:is>
      </x:c>
      <x:c r="R72" s="12" t="n">
        <x:v>5</x:v>
      </x:c>
      <x:c r="S72" s="11" t="inlineStr">
        <x:is>
          <x:t xml:space="preserve">User error</x:t>
        </x:is>
      </x:c>
      <x:c r="T72" s="5" t="inlineStr">
        <x:is>
          <x:t xml:space="preserve">Ran endpoint checks and provided workaround or hardware escalation as needed.</x:t>
        </x:is>
      </x:c>
      <x:c r="U72" s="44" t="n">
        <x:v>46103.78888888889</x:v>
      </x:c>
    </x:row>
    <x:row r="73">
      <x:c r="A73" s="8" t="inlineStr">
        <x:is>
          <x:t xml:space="preserve">INC-202603-0072</x:t>
        </x:is>
      </x:c>
      <x:c r="B73" s="44" t="n">
        <x:v>46093.69236111111</x:v>
      </x:c>
      <x:c r="C73" s="10" t="inlineStr">
        <x:is>
          <x:t xml:space="preserve">US</x:t>
        </x:is>
      </x:c>
      <x:c r="D73" s="8" t="inlineStr">
        <x:is>
          <x:t xml:space="preserve">User 072</x:t>
        </x:is>
      </x:c>
      <x:c r="E73" s="11" t="inlineStr">
        <x:is>
          <x:t xml:space="preserve">Operations</x:t>
        </x:is>
      </x:c>
      <x:c r="F73" s="10" t="inlineStr">
        <x:is>
          <x:t xml:space="preserve">Chat</x:t>
        </x:is>
      </x:c>
      <x:c r="G73" s="11" t="inlineStr">
        <x:is>
          <x:t xml:space="preserve">Login &amp; Access</x:t>
        </x:is>
      </x:c>
      <x:c r="H73" s="11" t="inlineStr">
        <x:is>
          <x:t xml:space="preserve">Account locked</x:t>
        </x:is>
      </x:c>
      <x:c r="I73" s="10" t="inlineStr">
        <x:is>
          <x:t xml:space="preserve">High</x:t>
        </x:is>
      </x:c>
      <x:c r="J73" s="10" t="inlineStr">
        <x:is>
          <x:t xml:space="preserve">Resolved</x:t>
        </x:is>
      </x:c>
      <x:c r="K73" s="11" t="inlineStr">
        <x:is>
          <x:t xml:space="preserve">L1 Identity Support</x:t>
        </x:is>
      </x:c>
      <x:c r="L73" s="10" t="inlineStr">
        <x:is>
          <x:t xml:space="preserve">Agent G</x:t>
        </x:is>
      </x:c>
      <x:c r="M73" s="12" t="n">
        <x:v>8</x:v>
      </x:c>
      <x:c r="N73" s="45" t="n">
        <x:v>4.4</x:v>
      </x:c>
      <x:c r="O73" s="12">
        <x:f>XLOOKUP(I73,SLA_Rules!$A$4:$A$7,SLA_Rules!$B$4:$B$7,"")</x:f>
        <x:v>8</x:v>
      </x:c>
      <x:c r="P73" s="12" t="str">
        <x:f>IF(J73&lt;&gt;"Resolved","Pending",IF(N73&lt;=O73,"Yes","No"))</x:f>
        <x:v>Yes</x:v>
      </x:c>
      <x:c r="Q73" s="10" t="inlineStr">
        <x:is>
          <x:t xml:space="preserve">No</x:t>
        </x:is>
      </x:c>
      <x:c r="R73" s="12" t="n">
        <x:v>5</x:v>
      </x:c>
      <x:c r="S73" s="11" t="inlineStr">
        <x:is>
          <x:t xml:space="preserve">Driver problem</x:t>
        </x:is>
      </x:c>
      <x:c r="T73" s="5" t="inlineStr">
        <x:is>
          <x:t xml:space="preserve">Validated identity, restored access path, and confirmed successful login.</x:t>
        </x:is>
      </x:c>
      <x:c r="U73" s="44" t="n">
        <x:v>46093.87569444445</x:v>
      </x:c>
    </x:row>
    <x:row r="74">
      <x:c r="A74" s="8" t="inlineStr">
        <x:is>
          <x:t xml:space="preserve">INC-202603-0073</x:t>
        </x:is>
      </x:c>
      <x:c r="B74" s="44" t="n">
        <x:v>46111.58611111111</x:v>
      </x:c>
      <x:c r="C74" s="10" t="inlineStr">
        <x:is>
          <x:t xml:space="preserve">APAC</x:t>
        </x:is>
      </x:c>
      <x:c r="D74" s="8" t="inlineStr">
        <x:is>
          <x:t xml:space="preserve">User 073</x:t>
        </x:is>
      </x:c>
      <x:c r="E74" s="11" t="inlineStr">
        <x:is>
          <x:t xml:space="preserve">Tax</x:t>
        </x:is>
      </x:c>
      <x:c r="F74" s="10" t="inlineStr">
        <x:is>
          <x:t xml:space="preserve">Email</x:t>
        </x:is>
      </x:c>
      <x:c r="G74" s="11" t="inlineStr">
        <x:is>
          <x:t xml:space="preserve">Email &amp; Outlook</x:t>
        </x:is>
      </x:c>
      <x:c r="H74" s="11" t="inlineStr">
        <x:is>
          <x:t xml:space="preserve">Outlook not opening</x:t>
        </x:is>
      </x:c>
      <x:c r="I74" s="10" t="inlineStr">
        <x:is>
          <x:t xml:space="preserve">Medium</x:t>
        </x:is>
      </x:c>
      <x:c r="J74" s="10" t="inlineStr">
        <x:is>
          <x:t xml:space="preserve">Pending User</x:t>
        </x:is>
      </x:c>
      <x:c r="K74" s="11" t="inlineStr">
        <x:is>
          <x:t xml:space="preserve">L1 Endpoint Support</x:t>
        </x:is>
      </x:c>
      <x:c r="L74" s="10" t="inlineStr">
        <x:is>
          <x:t xml:space="preserve">Agent F</x:t>
        </x:is>
      </x:c>
      <x:c r="M74" s="12" t="n">
        <x:v>28</x:v>
      </x:c>
      <x:c r="N74" s="12" t="n"/>
      <x:c r="O74" s="12">
        <x:f>XLOOKUP(I74,SLA_Rules!$A$4:$A$7,SLA_Rules!$B$4:$B$7,"")</x:f>
        <x:v>16</x:v>
      </x:c>
      <x:c r="P74" s="12" t="str">
        <x:f>IF(J74&lt;&gt;"Resolved","Pending",IF(N74&lt;=O74,"Yes","No"))</x:f>
        <x:v>Pending</x:v>
      </x:c>
      <x:c r="Q74" s="10" t="inlineStr">
        <x:is>
          <x:t xml:space="preserve">Yes</x:t>
        </x:is>
      </x:c>
      <x:c r="R74" s="12" t="n"/>
      <x:c r="S74" s="11" t="inlineStr">
        <x:is>
          <x:t xml:space="preserve">Configuration drift</x:t>
        </x:is>
      </x:c>
      <x:c r="T74" s="5" t="inlineStr">
        <x:is>
          <x:t xml:space="preserve">Cleared profile/cache and validated mailbox connectivity with user.</x:t>
        </x:is>
      </x:c>
      <x:c r="U74" s="8" t="n"/>
    </x:row>
    <x:row r="75">
      <x:c r="A75" s="8" t="inlineStr">
        <x:is>
          <x:t xml:space="preserve">INC-202603-0074</x:t>
        </x:is>
      </x:c>
      <x:c r="B75" s="44" t="n">
        <x:v>46101.54583333333</x:v>
      </x:c>
      <x:c r="C75" s="10" t="inlineStr">
        <x:is>
          <x:t xml:space="preserve">US</x:t>
        </x:is>
      </x:c>
      <x:c r="D75" s="8" t="inlineStr">
        <x:is>
          <x:t xml:space="preserve">User 074</x:t>
        </x:is>
      </x:c>
      <x:c r="E75" s="11" t="inlineStr">
        <x:is>
          <x:t xml:space="preserve">Internal Services</x:t>
        </x:is>
      </x:c>
      <x:c r="F75" s="10" t="inlineStr">
        <x:is>
          <x:t xml:space="preserve">Phone</x:t>
        </x:is>
      </x:c>
      <x:c r="G75" s="11" t="inlineStr">
        <x:is>
          <x:t xml:space="preserve">Login &amp; Access</x:t>
        </x:is>
      </x:c>
      <x:c r="H75" s="11" t="inlineStr">
        <x:is>
          <x:t xml:space="preserve">MFA prompt loop</x:t>
        </x:is>
      </x:c>
      <x:c r="I75" s="10" t="inlineStr">
        <x:is>
          <x:t xml:space="preserve">High</x:t>
        </x:is>
      </x:c>
      <x:c r="J75" s="10" t="inlineStr">
        <x:is>
          <x:t xml:space="preserve">Resolved</x:t>
        </x:is>
      </x:c>
      <x:c r="K75" s="11" t="inlineStr">
        <x:is>
          <x:t xml:space="preserve">L1 Identity Support</x:t>
        </x:is>
      </x:c>
      <x:c r="L75" s="10" t="inlineStr">
        <x:is>
          <x:t xml:space="preserve">Agent E</x:t>
        </x:is>
      </x:c>
      <x:c r="M75" s="12" t="n">
        <x:v>19</x:v>
      </x:c>
      <x:c r="N75" s="45" t="n">
        <x:v>1.9</x:v>
      </x:c>
      <x:c r="O75" s="12">
        <x:f>XLOOKUP(I75,SLA_Rules!$A$4:$A$7,SLA_Rules!$B$4:$B$7,"")</x:f>
        <x:v>8</x:v>
      </x:c>
      <x:c r="P75" s="12" t="str">
        <x:f>IF(J75&lt;&gt;"Resolved","Pending",IF(N75&lt;=O75,"Yes","No"))</x:f>
        <x:v>Yes</x:v>
      </x:c>
      <x:c r="Q75" s="10" t="inlineStr">
        <x:is>
          <x:t xml:space="preserve">No</x:t>
        </x:is>
      </x:c>
      <x:c r="R75" s="12" t="n">
        <x:v>5</x:v>
      </x:c>
      <x:c r="S75" s="11" t="inlineStr">
        <x:is>
          <x:t xml:space="preserve">Pending update</x:t>
        </x:is>
      </x:c>
      <x:c r="T75" s="5" t="inlineStr">
        <x:is>
          <x:t xml:space="preserve">Validated identity, restored access path, and confirmed successful login.</x:t>
        </x:is>
      </x:c>
      <x:c r="U75" s="44" t="n">
        <x:v>46101.625</x:v>
      </x:c>
    </x:row>
    <x:row r="76">
      <x:c r="A76" s="8" t="inlineStr">
        <x:is>
          <x:t xml:space="preserve">INC-202603-0075</x:t>
        </x:is>
      </x:c>
      <x:c r="B76" s="44" t="n">
        <x:v>46103.62777777778</x:v>
      </x:c>
      <x:c r="C76" s="10" t="inlineStr">
        <x:is>
          <x:t xml:space="preserve">India</x:t>
        </x:is>
      </x:c>
      <x:c r="D76" s="8" t="inlineStr">
        <x:is>
          <x:t xml:space="preserve">User 075</x:t>
        </x:is>
      </x:c>
      <x:c r="E76" s="11" t="inlineStr">
        <x:is>
          <x:t xml:space="preserve">Internal Services</x:t>
        </x:is>
      </x:c>
      <x:c r="F76" s="10" t="inlineStr">
        <x:is>
          <x:t xml:space="preserve">Email</x:t>
        </x:is>
      </x:c>
      <x:c r="G76" s="11" t="inlineStr">
        <x:is>
          <x:t xml:space="preserve">Email &amp; Outlook</x:t>
        </x:is>
      </x:c>
      <x:c r="H76" s="11" t="inlineStr">
        <x:is>
          <x:t xml:space="preserve">Calendar invite issue</x:t>
        </x:is>
      </x:c>
      <x:c r="I76" s="10" t="inlineStr">
        <x:is>
          <x:t xml:space="preserve">Low</x:t>
        </x:is>
      </x:c>
      <x:c r="J76" s="10" t="inlineStr">
        <x:is>
          <x:t xml:space="preserve">Resolved</x:t>
        </x:is>
      </x:c>
      <x:c r="K76" s="11" t="inlineStr">
        <x:is>
          <x:t xml:space="preserve">L1 Messaging Support</x:t>
        </x:is>
      </x:c>
      <x:c r="L76" s="10" t="inlineStr">
        <x:is>
          <x:t xml:space="preserve">Agent B</x:t>
        </x:is>
      </x:c>
      <x:c r="M76" s="12" t="n">
        <x:v>134</x:v>
      </x:c>
      <x:c r="N76" s="45" t="n">
        <x:v>5.2</x:v>
      </x:c>
      <x:c r="O76" s="12">
        <x:f>XLOOKUP(I76,SLA_Rules!$A$4:$A$7,SLA_Rules!$B$4:$B$7,"")</x:f>
        <x:v>24</x:v>
      </x:c>
      <x:c r="P76" s="12" t="str">
        <x:f>IF(J76&lt;&gt;"Resolved","Pending",IF(N76&lt;=O76,"Yes","No"))</x:f>
        <x:v>Yes</x:v>
      </x:c>
      <x:c r="Q76" s="10" t="inlineStr">
        <x:is>
          <x:t xml:space="preserve">No</x:t>
        </x:is>
      </x:c>
      <x:c r="R76" s="12" t="n">
        <x:v>3</x:v>
      </x:c>
      <x:c r="S76" s="11" t="inlineStr">
        <x:is>
          <x:t xml:space="preserve">Application cache</x:t>
        </x:is>
      </x:c>
      <x:c r="T76" s="5" t="inlineStr">
        <x:is>
          <x:t xml:space="preserve">Cleared profile/cache and validated mailbox connectivity with user.</x:t>
        </x:is>
      </x:c>
      <x:c r="U76" s="44" t="n">
        <x:v>46103.84444444445</x:v>
      </x:c>
    </x:row>
    <x:row r="77">
      <x:c r="A77" s="8" t="inlineStr">
        <x:is>
          <x:t xml:space="preserve">INC-202603-0076</x:t>
        </x:is>
      </x:c>
      <x:c r="B77" s="44" t="n">
        <x:v>46109.90833333333</x:v>
      </x:c>
      <x:c r="C77" s="10" t="inlineStr">
        <x:is>
          <x:t xml:space="preserve">US</x:t>
        </x:is>
      </x:c>
      <x:c r="D77" s="8" t="inlineStr">
        <x:is>
          <x:t xml:space="preserve">User 076</x:t>
        </x:is>
      </x:c>
      <x:c r="E77" s="11" t="inlineStr">
        <x:is>
          <x:t xml:space="preserve">Tax</x:t>
        </x:is>
      </x:c>
      <x:c r="F77" s="10" t="inlineStr">
        <x:is>
          <x:t xml:space="preserve">Phone</x:t>
        </x:is>
      </x:c>
      <x:c r="G77" s="11" t="inlineStr">
        <x:is>
          <x:t xml:space="preserve">Hardware</x:t>
        </x:is>
      </x:c>
      <x:c r="H77" s="11" t="inlineStr">
        <x:is>
          <x:t xml:space="preserve">Blue screen</x:t>
        </x:is>
      </x:c>
      <x:c r="I77" s="10" t="inlineStr">
        <x:is>
          <x:t xml:space="preserve">Low</x:t>
        </x:is>
      </x:c>
      <x:c r="J77" s="10" t="inlineStr">
        <x:is>
          <x:t xml:space="preserve">Resolved</x:t>
        </x:is>
      </x:c>
      <x:c r="K77" s="11" t="inlineStr">
        <x:is>
          <x:t xml:space="preserve">L1 Endpoint Support</x:t>
        </x:is>
      </x:c>
      <x:c r="L77" s="10" t="inlineStr">
        <x:is>
          <x:t xml:space="preserve">Agent C</x:t>
        </x:is>
      </x:c>
      <x:c r="M77" s="12" t="n">
        <x:v>37</x:v>
      </x:c>
      <x:c r="N77" s="45" t="n">
        <x:v>21.2</x:v>
      </x:c>
      <x:c r="O77" s="12">
        <x:f>XLOOKUP(I77,SLA_Rules!$A$4:$A$7,SLA_Rules!$B$4:$B$7,"")</x:f>
        <x:v>24</x:v>
      </x:c>
      <x:c r="P77" s="12" t="str">
        <x:f>IF(J77&lt;&gt;"Resolved","Pending",IF(N77&lt;=O77,"Yes","No"))</x:f>
        <x:v>Yes</x:v>
      </x:c>
      <x:c r="Q77" s="10" t="inlineStr">
        <x:is>
          <x:t xml:space="preserve">No</x:t>
        </x:is>
      </x:c>
      <x:c r="R77" s="12" t="n">
        <x:v>5</x:v>
      </x:c>
      <x:c r="S77" s="11" t="inlineStr">
        <x:is>
          <x:t xml:space="preserve">Policy enforcement</x:t>
        </x:is>
      </x:c>
      <x:c r="T77" s="5" t="inlineStr">
        <x:is>
          <x:t xml:space="preserve">Ran endpoint checks and provided workaround or hardware escalation as needed.</x:t>
        </x:is>
      </x:c>
      <x:c r="U77" s="44" t="n">
        <x:v>46110.79166666666</x:v>
      </x:c>
    </x:row>
    <x:row r="78">
      <x:c r="A78" s="8" t="inlineStr">
        <x:is>
          <x:t xml:space="preserve">INC-202603-0077</x:t>
        </x:is>
      </x:c>
      <x:c r="B78" s="44" t="n">
        <x:v>46099.46319444444</x:v>
      </x:c>
      <x:c r="C78" s="10" t="inlineStr">
        <x:is>
          <x:t xml:space="preserve">India</x:t>
        </x:is>
      </x:c>
      <x:c r="D78" s="8" t="inlineStr">
        <x:is>
          <x:t xml:space="preserve">User 077</x:t>
        </x:is>
      </x:c>
      <x:c r="E78" s="11" t="inlineStr">
        <x:is>
          <x:t xml:space="preserve">Tax</x:t>
        </x:is>
      </x:c>
      <x:c r="F78" s="10" t="inlineStr">
        <x:is>
          <x:t xml:space="preserve">Email</x:t>
        </x:is>
      </x:c>
      <x:c r="G78" s="11" t="inlineStr">
        <x:is>
          <x:t xml:space="preserve">Email &amp; Outlook</x:t>
        </x:is>
      </x:c>
      <x:c r="H78" s="11" t="inlineStr">
        <x:is>
          <x:t xml:space="preserve">Outlook not opening</x:t>
        </x:is>
      </x:c>
      <x:c r="I78" s="10" t="inlineStr">
        <x:is>
          <x:t xml:space="preserve">Low</x:t>
        </x:is>
      </x:c>
      <x:c r="J78" s="10" t="inlineStr">
        <x:is>
          <x:t xml:space="preserve">Resolved</x:t>
        </x:is>
      </x:c>
      <x:c r="K78" s="11" t="inlineStr">
        <x:is>
          <x:t xml:space="preserve">L1 Messaging Support</x:t>
        </x:is>
      </x:c>
      <x:c r="L78" s="10" t="inlineStr">
        <x:is>
          <x:t xml:space="preserve">Agent G</x:t>
        </x:is>
      </x:c>
      <x:c r="M78" s="12" t="n">
        <x:v>133</x:v>
      </x:c>
      <x:c r="N78" s="45" t="n">
        <x:v>14.6</x:v>
      </x:c>
      <x:c r="O78" s="12">
        <x:f>XLOOKUP(I78,SLA_Rules!$A$4:$A$7,SLA_Rules!$B$4:$B$7,"")</x:f>
        <x:v>24</x:v>
      </x:c>
      <x:c r="P78" s="12" t="str">
        <x:f>IF(J78&lt;&gt;"Resolved","Pending",IF(N78&lt;=O78,"Yes","No"))</x:f>
        <x:v>Yes</x:v>
      </x:c>
      <x:c r="Q78" s="10" t="inlineStr">
        <x:is>
          <x:t xml:space="preserve">No</x:t>
        </x:is>
      </x:c>
      <x:c r="R78" s="12" t="n">
        <x:v>5</x:v>
      </x:c>
      <x:c r="S78" s="11" t="inlineStr">
        <x:is>
          <x:t xml:space="preserve">Policy enforcement</x:t>
        </x:is>
      </x:c>
      <x:c r="T78" s="5" t="inlineStr">
        <x:is>
          <x:t xml:space="preserve">Cleared profile/cache and validated mailbox connectivity with user.</x:t>
        </x:is>
      </x:c>
      <x:c r="U78" s="44" t="n">
        <x:v>46100.07152777778</x:v>
      </x:c>
    </x:row>
    <x:row r="79">
      <x:c r="A79" s="8" t="inlineStr">
        <x:is>
          <x:t xml:space="preserve">INC-202603-0078</x:t>
        </x:is>
      </x:c>
      <x:c r="B79" s="44" t="n">
        <x:v>46104.41527777778</x:v>
      </x:c>
      <x:c r="C79" s="10" t="inlineStr">
        <x:is>
          <x:t xml:space="preserve">UK</x:t>
        </x:is>
      </x:c>
      <x:c r="D79" s="8" t="inlineStr">
        <x:is>
          <x:t xml:space="preserve">User 078</x:t>
        </x:is>
      </x:c>
      <x:c r="E79" s="11" t="inlineStr">
        <x:is>
          <x:t xml:space="preserve">Audit</x:t>
        </x:is>
      </x:c>
      <x:c r="F79" s="10" t="inlineStr">
        <x:is>
          <x:t xml:space="preserve">Chat</x:t>
        </x:is>
      </x:c>
      <x:c r="G79" s="11" t="inlineStr">
        <x:is>
          <x:t xml:space="preserve">Software &amp; Application</x:t>
        </x:is>
      </x:c>
      <x:c r="H79" s="11" t="inlineStr">
        <x:is>
          <x:t xml:space="preserve">Update failure</x:t>
        </x:is>
      </x:c>
      <x:c r="I79" s="10" t="inlineStr">
        <x:is>
          <x:t xml:space="preserve">Medium</x:t>
        </x:is>
      </x:c>
      <x:c r="J79" s="10" t="inlineStr">
        <x:is>
          <x:t xml:space="preserve">Resolved</x:t>
        </x:is>
      </x:c>
      <x:c r="K79" s="11" t="inlineStr">
        <x:is>
          <x:t xml:space="preserve">L1 Identity Support</x:t>
        </x:is>
      </x:c>
      <x:c r="L79" s="10" t="inlineStr">
        <x:is>
          <x:t xml:space="preserve">Agent C</x:t>
        </x:is>
      </x:c>
      <x:c r="M79" s="12" t="n">
        <x:v>30</x:v>
      </x:c>
      <x:c r="N79" s="45" t="n">
        <x:v>2.5</x:v>
      </x:c>
      <x:c r="O79" s="12">
        <x:f>XLOOKUP(I79,SLA_Rules!$A$4:$A$7,SLA_Rules!$B$4:$B$7,"")</x:f>
        <x:v>16</x:v>
      </x:c>
      <x:c r="P79" s="12" t="str">
        <x:f>IF(J79&lt;&gt;"Resolved","Pending",IF(N79&lt;=O79,"Yes","No"))</x:f>
        <x:v>Yes</x:v>
      </x:c>
      <x:c r="Q79" s="10" t="inlineStr">
        <x:is>
          <x:t xml:space="preserve">No</x:t>
        </x:is>
      </x:c>
      <x:c r="R79" s="12" t="n">
        <x:v>5</x:v>
      </x:c>
      <x:c r="S79" s="11" t="inlineStr">
        <x:is>
          <x:t xml:space="preserve">Pending update</x:t>
        </x:is>
      </x:c>
      <x:c r="T79" s="5" t="inlineStr">
        <x:is>
          <x:t xml:space="preserve">Validated installation/configuration and completed application repair steps.</x:t>
        </x:is>
      </x:c>
      <x:c r="U79" s="44" t="n">
        <x:v>46104.51944444444</x:v>
      </x:c>
    </x:row>
    <x:row r="80">
      <x:c r="A80" s="8" t="inlineStr">
        <x:is>
          <x:t xml:space="preserve">INC-202603-0079</x:t>
        </x:is>
      </x:c>
      <x:c r="B80" s="44" t="n">
        <x:v>46091.97222222222</x:v>
      </x:c>
      <x:c r="C80" s="10" t="inlineStr">
        <x:is>
          <x:t xml:space="preserve">India</x:t>
        </x:is>
      </x:c>
      <x:c r="D80" s="8" t="inlineStr">
        <x:is>
          <x:t xml:space="preserve">User 079</x:t>
        </x:is>
      </x:c>
      <x:c r="E80" s="11" t="inlineStr">
        <x:is>
          <x:t xml:space="preserve">Finance</x:t>
        </x:is>
      </x:c>
      <x:c r="F80" s="10" t="inlineStr">
        <x:is>
          <x:t xml:space="preserve">Email</x:t>
        </x:is>
      </x:c>
      <x:c r="G80" s="11" t="inlineStr">
        <x:is>
          <x:t xml:space="preserve">Login &amp; Access</x:t>
        </x:is>
      </x:c>
      <x:c r="H80" s="11" t="inlineStr">
        <x:is>
          <x:t xml:space="preserve">Account locked</x:t>
        </x:is>
      </x:c>
      <x:c r="I80" s="10" t="inlineStr">
        <x:is>
          <x:t xml:space="preserve">Critical</x:t>
        </x:is>
      </x:c>
      <x:c r="J80" s="10" t="inlineStr">
        <x:is>
          <x:t xml:space="preserve">In Progress</x:t>
        </x:is>
      </x:c>
      <x:c r="K80" s="11" t="inlineStr">
        <x:is>
          <x:t xml:space="preserve">L1 Global Service Desk</x:t>
        </x:is>
      </x:c>
      <x:c r="L80" s="10" t="inlineStr">
        <x:is>
          <x:t xml:space="preserve">Agent C</x:t>
        </x:is>
      </x:c>
      <x:c r="M80" s="12" t="n">
        <x:v>22</x:v>
      </x:c>
      <x:c r="N80" s="12" t="n"/>
      <x:c r="O80" s="12">
        <x:f>XLOOKUP(I80,SLA_Rules!$A$4:$A$7,SLA_Rules!$B$4:$B$7,"")</x:f>
        <x:v>4</x:v>
      </x:c>
      <x:c r="P80" s="12" t="str">
        <x:f>IF(J80&lt;&gt;"Resolved","Pending",IF(N80&lt;=O80,"Yes","No"))</x:f>
        <x:v>Pending</x:v>
      </x:c>
      <x:c r="Q80" s="10" t="inlineStr">
        <x:is>
          <x:t xml:space="preserve">No</x:t>
        </x:is>
      </x:c>
      <x:c r="R80" s="12" t="n"/>
      <x:c r="S80" s="11" t="inlineStr">
        <x:is>
          <x:t xml:space="preserve">Configuration drift</x:t>
        </x:is>
      </x:c>
      <x:c r="T80" s="5" t="inlineStr">
        <x:is>
          <x:t xml:space="preserve">Validated identity, restored access path, and confirmed successful login.</x:t>
        </x:is>
      </x:c>
      <x:c r="U80" s="8" t="n"/>
    </x:row>
    <x:row r="81">
      <x:c r="A81" s="8" t="inlineStr">
        <x:is>
          <x:t xml:space="preserve">INC-202603-0080</x:t>
        </x:is>
      </x:c>
      <x:c r="B81" s="44" t="n">
        <x:v>46090.28333333333</x:v>
      </x:c>
      <x:c r="C81" s="10" t="inlineStr">
        <x:is>
          <x:t xml:space="preserve">India</x:t>
        </x:is>
      </x:c>
      <x:c r="D81" s="8" t="inlineStr">
        <x:is>
          <x:t xml:space="preserve">User 080</x:t>
        </x:is>
      </x:c>
      <x:c r="E81" s="11" t="inlineStr">
        <x:is>
          <x:t xml:space="preserve">Operations</x:t>
        </x:is>
      </x:c>
      <x:c r="F81" s="10" t="inlineStr">
        <x:is>
          <x:t xml:space="preserve">Chat</x:t>
        </x:is>
      </x:c>
      <x:c r="G81" s="11" t="inlineStr">
        <x:is>
          <x:t xml:space="preserve">Login &amp; Access</x:t>
        </x:is>
      </x:c>
      <x:c r="H81" s="11" t="inlineStr">
        <x:is>
          <x:t xml:space="preserve">Shared drive permission</x:t>
        </x:is>
      </x:c>
      <x:c r="I81" s="10" t="inlineStr">
        <x:is>
          <x:t xml:space="preserve">Critical</x:t>
        </x:is>
      </x:c>
      <x:c r="J81" s="10" t="inlineStr">
        <x:is>
          <x:t xml:space="preserve">Resolved</x:t>
        </x:is>
      </x:c>
      <x:c r="K81" s="11" t="inlineStr">
        <x:is>
          <x:t xml:space="preserve">L1 Identity Support</x:t>
        </x:is>
      </x:c>
      <x:c r="L81" s="10" t="inlineStr">
        <x:is>
          <x:t xml:space="preserve">Agent D</x:t>
        </x:is>
      </x:c>
      <x:c r="M81" s="12" t="n">
        <x:v>6</x:v>
      </x:c>
      <x:c r="N81" s="45" t="n">
        <x:v>1.7</x:v>
      </x:c>
      <x:c r="O81" s="12">
        <x:f>XLOOKUP(I81,SLA_Rules!$A$4:$A$7,SLA_Rules!$B$4:$B$7,"")</x:f>
        <x:v>4</x:v>
      </x:c>
      <x:c r="P81" s="12" t="str">
        <x:f>IF(J81&lt;&gt;"Resolved","Pending",IF(N81&lt;=O81,"Yes","No"))</x:f>
        <x:v>Yes</x:v>
      </x:c>
      <x:c r="Q81" s="10" t="inlineStr">
        <x:is>
          <x:t xml:space="preserve">No</x:t>
        </x:is>
      </x:c>
      <x:c r="R81" s="12" t="n">
        <x:v>4</x:v>
      </x:c>
      <x:c r="S81" s="11" t="inlineStr">
        <x:is>
          <x:t xml:space="preserve">Permission mismatch</x:t>
        </x:is>
      </x:c>
      <x:c r="T81" s="5" t="inlineStr">
        <x:is>
          <x:t xml:space="preserve">Validated identity, restored access path, and confirmed successful login.</x:t>
        </x:is>
      </x:c>
      <x:c r="U81" s="44" t="n">
        <x:v>46090.35416666666</x:v>
      </x:c>
    </x:row>
    <x:row r="82">
      <x:c r="A82" s="8" t="inlineStr">
        <x:is>
          <x:t xml:space="preserve">INC-202603-0081</x:t>
        </x:is>
      </x:c>
      <x:c r="B82" s="44" t="n">
        <x:v>46106.2</x:v>
      </x:c>
      <x:c r="C82" s="10" t="inlineStr">
        <x:is>
          <x:t xml:space="preserve">APAC</x:t>
        </x:is>
      </x:c>
      <x:c r="D82" s="8" t="inlineStr">
        <x:is>
          <x:t xml:space="preserve">User 081</x:t>
        </x:is>
      </x:c>
      <x:c r="E82" s="11" t="inlineStr">
        <x:is>
          <x:t xml:space="preserve">Risk Advisory</x:t>
        </x:is>
      </x:c>
      <x:c r="F82" s="10" t="inlineStr">
        <x:is>
          <x:t xml:space="preserve">Phone</x:t>
        </x:is>
      </x:c>
      <x:c r="G82" s="11" t="inlineStr">
        <x:is>
          <x:t xml:space="preserve">Network &amp; VPN</x:t>
        </x:is>
      </x:c>
      <x:c r="H82" s="11" t="inlineStr">
        <x:is>
          <x:t xml:space="preserve">No internet</x:t>
        </x:is>
      </x:c>
      <x:c r="I82" s="10" t="inlineStr">
        <x:is>
          <x:t xml:space="preserve">High</x:t>
        </x:is>
      </x:c>
      <x:c r="J82" s="10" t="inlineStr">
        <x:is>
          <x:t xml:space="preserve">Resolved</x:t>
        </x:is>
      </x:c>
      <x:c r="K82" s="11" t="inlineStr">
        <x:is>
          <x:t xml:space="preserve">L1 Messaging Support</x:t>
        </x:is>
      </x:c>
      <x:c r="L82" s="10" t="inlineStr">
        <x:is>
          <x:t xml:space="preserve">Agent B</x:t>
        </x:is>
      </x:c>
      <x:c r="M82" s="12" t="n">
        <x:v>6</x:v>
      </x:c>
      <x:c r="N82" s="45" t="n">
        <x:v>3.3</x:v>
      </x:c>
      <x:c r="O82" s="12">
        <x:f>XLOOKUP(I82,SLA_Rules!$A$4:$A$7,SLA_Rules!$B$4:$B$7,"")</x:f>
        <x:v>8</x:v>
      </x:c>
      <x:c r="P82" s="12" t="str">
        <x:f>IF(J82&lt;&gt;"Resolved","Pending",IF(N82&lt;=O82,"Yes","No"))</x:f>
        <x:v>Yes</x:v>
      </x:c>
      <x:c r="Q82" s="10" t="inlineStr">
        <x:is>
          <x:t xml:space="preserve">No</x:t>
        </x:is>
      </x:c>
      <x:c r="R82" s="12" t="n">
        <x:v>5</x:v>
      </x:c>
      <x:c r="S82" s="11" t="inlineStr">
        <x:is>
          <x:t xml:space="preserve">Configuration drift</x:t>
        </x:is>
      </x:c>
      <x:c r="T82" s="5" t="inlineStr">
        <x:is>
          <x:t xml:space="preserve">Checked connectivity path, reconfigured VPN settings, and confirmed stable access.</x:t>
        </x:is>
      </x:c>
      <x:c r="U82" s="44" t="n">
        <x:v>46106.3375</x:v>
      </x:c>
    </x:row>
    <x:row r="83">
      <x:c r="A83" s="8" t="inlineStr">
        <x:is>
          <x:t xml:space="preserve">INC-202603-0082</x:t>
        </x:is>
      </x:c>
      <x:c r="B83" s="44" t="n">
        <x:v>46082.62361111111</x:v>
      </x:c>
      <x:c r="C83" s="10" t="inlineStr">
        <x:is>
          <x:t xml:space="preserve">UK</x:t>
        </x:is>
      </x:c>
      <x:c r="D83" s="8" t="inlineStr">
        <x:is>
          <x:t xml:space="preserve">User 082</x:t>
        </x:is>
      </x:c>
      <x:c r="E83" s="11" t="inlineStr">
        <x:is>
          <x:t xml:space="preserve">HR</x:t>
        </x:is>
      </x:c>
      <x:c r="F83" s="10" t="inlineStr">
        <x:is>
          <x:t xml:space="preserve">Phone</x:t>
        </x:is>
      </x:c>
      <x:c r="G83" s="11" t="inlineStr">
        <x:is>
          <x:t xml:space="preserve">Email &amp; Outlook</x:t>
        </x:is>
      </x:c>
      <x:c r="H83" s="11" t="inlineStr">
        <x:is>
          <x:t xml:space="preserve">Mailbox sync delay</x:t>
        </x:is>
      </x:c>
      <x:c r="I83" s="10" t="inlineStr">
        <x:is>
          <x:t xml:space="preserve">Low</x:t>
        </x:is>
      </x:c>
      <x:c r="J83" s="10" t="inlineStr">
        <x:is>
          <x:t xml:space="preserve">Resolved</x:t>
        </x:is>
      </x:c>
      <x:c r="K83" s="11" t="inlineStr">
        <x:is>
          <x:t xml:space="preserve">L1 Global Service Desk</x:t>
        </x:is>
      </x:c>
      <x:c r="L83" s="10" t="inlineStr">
        <x:is>
          <x:t xml:space="preserve">Agent D</x:t>
        </x:is>
      </x:c>
      <x:c r="M83" s="12" t="n">
        <x:v>133</x:v>
      </x:c>
      <x:c r="N83" s="45" t="n">
        <x:v>9.6</x:v>
      </x:c>
      <x:c r="O83" s="12">
        <x:f>XLOOKUP(I83,SLA_Rules!$A$4:$A$7,SLA_Rules!$B$4:$B$7,"")</x:f>
        <x:v>24</x:v>
      </x:c>
      <x:c r="P83" s="12" t="str">
        <x:f>IF(J83&lt;&gt;"Resolved","Pending",IF(N83&lt;=O83,"Yes","No"))</x:f>
        <x:v>Yes</x:v>
      </x:c>
      <x:c r="Q83" s="10" t="inlineStr">
        <x:is>
          <x:t xml:space="preserve">No</x:t>
        </x:is>
      </x:c>
      <x:c r="R83" s="12" t="n">
        <x:v>5</x:v>
      </x:c>
      <x:c r="S83" s="11" t="inlineStr">
        <x:is>
          <x:t xml:space="preserve">Pending update</x:t>
        </x:is>
      </x:c>
      <x:c r="T83" s="5" t="inlineStr">
        <x:is>
          <x:t xml:space="preserve">Cleared profile/cache and validated mailbox connectivity with user.</x:t>
        </x:is>
      </x:c>
      <x:c r="U83" s="44" t="n">
        <x:v>46083.02361111111</x:v>
      </x:c>
    </x:row>
    <x:row r="84">
      <x:c r="A84" s="8" t="inlineStr">
        <x:is>
          <x:t xml:space="preserve">INC-202603-0083</x:t>
        </x:is>
      </x:c>
      <x:c r="B84" s="44" t="n">
        <x:v>46095.13541666666</x:v>
      </x:c>
      <x:c r="C84" s="10" t="inlineStr">
        <x:is>
          <x:t xml:space="preserve">India</x:t>
        </x:is>
      </x:c>
      <x:c r="D84" s="8" t="inlineStr">
        <x:is>
          <x:t xml:space="preserve">User 083</x:t>
        </x:is>
      </x:c>
      <x:c r="E84" s="11" t="inlineStr">
        <x:is>
          <x:t xml:space="preserve">Operations</x:t>
        </x:is>
      </x:c>
      <x:c r="F84" s="10" t="inlineStr">
        <x:is>
          <x:t xml:space="preserve">Web Ticket</x:t>
        </x:is>
      </x:c>
      <x:c r="G84" s="11" t="inlineStr">
        <x:is>
          <x:t xml:space="preserve">Email &amp; Outlook</x:t>
        </x:is>
      </x:c>
      <x:c r="H84" s="11" t="inlineStr">
        <x:is>
          <x:t xml:space="preserve">Calendar invite issue</x:t>
        </x:is>
      </x:c>
      <x:c r="I84" s="10" t="inlineStr">
        <x:is>
          <x:t xml:space="preserve">Medium</x:t>
        </x:is>
      </x:c>
      <x:c r="J84" s="10" t="inlineStr">
        <x:is>
          <x:t xml:space="preserve">Pending User</x:t>
        </x:is>
      </x:c>
      <x:c r="K84" s="11" t="inlineStr">
        <x:is>
          <x:t xml:space="preserve">L1 Messaging Support</x:t>
        </x:is>
      </x:c>
      <x:c r="L84" s="10" t="inlineStr">
        <x:is>
          <x:t xml:space="preserve">Agent A</x:t>
        </x:is>
      </x:c>
      <x:c r="M84" s="12" t="n">
        <x:v>73</x:v>
      </x:c>
      <x:c r="N84" s="12" t="n"/>
      <x:c r="O84" s="12">
        <x:f>XLOOKUP(I84,SLA_Rules!$A$4:$A$7,SLA_Rules!$B$4:$B$7,"")</x:f>
        <x:v>16</x:v>
      </x:c>
      <x:c r="P84" s="12" t="str">
        <x:f>IF(J84&lt;&gt;"Resolved","Pending",IF(N84&lt;=O84,"Yes","No"))</x:f>
        <x:v>Pending</x:v>
      </x:c>
      <x:c r="Q84" s="10" t="inlineStr">
        <x:is>
          <x:t xml:space="preserve">No</x:t>
        </x:is>
      </x:c>
      <x:c r="R84" s="12" t="n"/>
      <x:c r="S84" s="11" t="inlineStr">
        <x:is>
          <x:t xml:space="preserve">Driver problem</x:t>
        </x:is>
      </x:c>
      <x:c r="T84" s="5" t="inlineStr">
        <x:is>
          <x:t xml:space="preserve">Cleared profile/cache and validated mailbox connectivity with user.</x:t>
        </x:is>
      </x:c>
      <x:c r="U84" s="8" t="n"/>
    </x:row>
    <x:row r="85">
      <x:c r="A85" s="8" t="inlineStr">
        <x:is>
          <x:t xml:space="preserve">INC-202603-0084</x:t>
        </x:is>
      </x:c>
      <x:c r="B85" s="44" t="n">
        <x:v>46093.49027777778</x:v>
      </x:c>
      <x:c r="C85" s="10" t="inlineStr">
        <x:is>
          <x:t xml:space="preserve">UK</x:t>
        </x:is>
      </x:c>
      <x:c r="D85" s="8" t="inlineStr">
        <x:is>
          <x:t xml:space="preserve">User 084</x:t>
        </x:is>
      </x:c>
      <x:c r="E85" s="11" t="inlineStr">
        <x:is>
          <x:t xml:space="preserve">Tax</x:t>
        </x:is>
      </x:c>
      <x:c r="F85" s="10" t="inlineStr">
        <x:is>
          <x:t xml:space="preserve">Phone</x:t>
        </x:is>
      </x:c>
      <x:c r="G85" s="11" t="inlineStr">
        <x:is>
          <x:t xml:space="preserve">Login &amp; Access</x:t>
        </x:is>
      </x:c>
      <x:c r="H85" s="11" t="inlineStr">
        <x:is>
          <x:t xml:space="preserve">MFA prompt loop</x:t>
        </x:is>
      </x:c>
      <x:c r="I85" s="10" t="inlineStr">
        <x:is>
          <x:t xml:space="preserve">Medium</x:t>
        </x:is>
      </x:c>
      <x:c r="J85" s="10" t="inlineStr">
        <x:is>
          <x:t xml:space="preserve">Resolved</x:t>
        </x:is>
      </x:c>
      <x:c r="K85" s="11" t="inlineStr">
        <x:is>
          <x:t xml:space="preserve">L1 Global Service Desk</x:t>
        </x:is>
      </x:c>
      <x:c r="L85" s="10" t="inlineStr">
        <x:is>
          <x:t xml:space="preserve">Agent G</x:t>
        </x:is>
      </x:c>
      <x:c r="M85" s="12" t="n">
        <x:v>30</x:v>
      </x:c>
      <x:c r="N85" s="45" t="n">
        <x:v>19.4</x:v>
      </x:c>
      <x:c r="O85" s="12">
        <x:f>XLOOKUP(I85,SLA_Rules!$A$4:$A$7,SLA_Rules!$B$4:$B$7,"")</x:f>
        <x:v>16</x:v>
      </x:c>
      <x:c r="P85" s="12" t="str">
        <x:f>IF(J85&lt;&gt;"Resolved","Pending",IF(N85&lt;=O85,"Yes","No"))</x:f>
        <x:v>No</x:v>
      </x:c>
      <x:c r="Q85" s="10" t="inlineStr">
        <x:is>
          <x:t xml:space="preserve">Yes</x:t>
        </x:is>
      </x:c>
      <x:c r="R85" s="12" t="n">
        <x:v>3</x:v>
      </x:c>
      <x:c r="S85" s="11" t="inlineStr">
        <x:is>
          <x:t xml:space="preserve">Configuration drift</x:t>
        </x:is>
      </x:c>
      <x:c r="T85" s="5" t="inlineStr">
        <x:is>
          <x:t xml:space="preserve">Validated identity, restored access path, and confirmed successful login.</x:t>
        </x:is>
      </x:c>
      <x:c r="U85" s="44" t="n">
        <x:v>46094.29861111111</x:v>
      </x:c>
    </x:row>
    <x:row r="86">
      <x:c r="A86" s="8" t="inlineStr">
        <x:is>
          <x:t xml:space="preserve">INC-202603-0085</x:t>
        </x:is>
      </x:c>
      <x:c r="B86" s="44" t="n">
        <x:v>46100.76944444444</x:v>
      </x:c>
      <x:c r="C86" s="10" t="inlineStr">
        <x:is>
          <x:t xml:space="preserve">UK</x:t>
        </x:is>
      </x:c>
      <x:c r="D86" s="8" t="inlineStr">
        <x:is>
          <x:t xml:space="preserve">User 085</x:t>
        </x:is>
      </x:c>
      <x:c r="E86" s="11" t="inlineStr">
        <x:is>
          <x:t xml:space="preserve">Operations</x:t>
        </x:is>
      </x:c>
      <x:c r="F86" s="10" t="inlineStr">
        <x:is>
          <x:t xml:space="preserve">Phone</x:t>
        </x:is>
      </x:c>
      <x:c r="G86" s="11" t="inlineStr">
        <x:is>
          <x:t xml:space="preserve">Email &amp; Outlook</x:t>
        </x:is>
      </x:c>
      <x:c r="H86" s="11" t="inlineStr">
        <x:is>
          <x:t xml:space="preserve">Mailbox sync delay</x:t>
        </x:is>
      </x:c>
      <x:c r="I86" s="10" t="inlineStr">
        <x:is>
          <x:t xml:space="preserve">Low</x:t>
        </x:is>
      </x:c>
      <x:c r="J86" s="10" t="inlineStr">
        <x:is>
          <x:t xml:space="preserve">Resolved</x:t>
        </x:is>
      </x:c>
      <x:c r="K86" s="11" t="inlineStr">
        <x:is>
          <x:t xml:space="preserve">L1 Endpoint Support</x:t>
        </x:is>
      </x:c>
      <x:c r="L86" s="10" t="inlineStr">
        <x:is>
          <x:t xml:space="preserve">Agent G</x:t>
        </x:is>
      </x:c>
      <x:c r="M86" s="12" t="n">
        <x:v>106</x:v>
      </x:c>
      <x:c r="N86" s="45" t="n">
        <x:v>20.5</x:v>
      </x:c>
      <x:c r="O86" s="12">
        <x:f>XLOOKUP(I86,SLA_Rules!$A$4:$A$7,SLA_Rules!$B$4:$B$7,"")</x:f>
        <x:v>24</x:v>
      </x:c>
      <x:c r="P86" s="12" t="str">
        <x:f>IF(J86&lt;&gt;"Resolved","Pending",IF(N86&lt;=O86,"Yes","No"))</x:f>
        <x:v>Yes</x:v>
      </x:c>
      <x:c r="Q86" s="10" t="inlineStr">
        <x:is>
          <x:t xml:space="preserve">No</x:t>
        </x:is>
      </x:c>
      <x:c r="R86" s="12" t="n">
        <x:v>5</x:v>
      </x:c>
      <x:c r="S86" s="11" t="inlineStr">
        <x:is>
          <x:t xml:space="preserve">Application cache</x:t>
        </x:is>
      </x:c>
      <x:c r="T86" s="5" t="inlineStr">
        <x:is>
          <x:t xml:space="preserve">Cleared profile/cache and validated mailbox connectivity with user.</x:t>
        </x:is>
      </x:c>
      <x:c r="U86" s="44" t="n">
        <x:v>46101.62361111111</x:v>
      </x:c>
    </x:row>
    <x:row r="87">
      <x:c r="A87" s="8" t="inlineStr">
        <x:is>
          <x:t xml:space="preserve">INC-202603-0086</x:t>
        </x:is>
      </x:c>
      <x:c r="B87" s="44" t="n">
        <x:v>46084.39513888889</x:v>
      </x:c>
      <x:c r="C87" s="10" t="inlineStr">
        <x:is>
          <x:t xml:space="preserve">India</x:t>
        </x:is>
      </x:c>
      <x:c r="D87" s="8" t="inlineStr">
        <x:is>
          <x:t xml:space="preserve">User 086</x:t>
        </x:is>
      </x:c>
      <x:c r="E87" s="11" t="inlineStr">
        <x:is>
          <x:t xml:space="preserve">Audit</x:t>
        </x:is>
      </x:c>
      <x:c r="F87" s="10" t="inlineStr">
        <x:is>
          <x:t xml:space="preserve">Phone</x:t>
        </x:is>
      </x:c>
      <x:c r="G87" s="11" t="inlineStr">
        <x:is>
          <x:t xml:space="preserve">Login &amp; Access</x:t>
        </x:is>
      </x:c>
      <x:c r="H87" s="11" t="inlineStr">
        <x:is>
          <x:t xml:space="preserve">Account locked</x:t>
        </x:is>
      </x:c>
      <x:c r="I87" s="10" t="inlineStr">
        <x:is>
          <x:t xml:space="preserve">High</x:t>
        </x:is>
      </x:c>
      <x:c r="J87" s="10" t="inlineStr">
        <x:is>
          <x:t xml:space="preserve">Resolved</x:t>
        </x:is>
      </x:c>
      <x:c r="K87" s="11" t="inlineStr">
        <x:is>
          <x:t xml:space="preserve">L1 Identity Support</x:t>
        </x:is>
      </x:c>
      <x:c r="L87" s="10" t="inlineStr">
        <x:is>
          <x:t xml:space="preserve">Agent E</x:t>
        </x:is>
      </x:c>
      <x:c r="M87" s="12" t="n">
        <x:v>24</x:v>
      </x:c>
      <x:c r="N87" s="45" t="n">
        <x:v>1.6</x:v>
      </x:c>
      <x:c r="O87" s="12">
        <x:f>XLOOKUP(I87,SLA_Rules!$A$4:$A$7,SLA_Rules!$B$4:$B$7,"")</x:f>
        <x:v>8</x:v>
      </x:c>
      <x:c r="P87" s="12" t="str">
        <x:f>IF(J87&lt;&gt;"Resolved","Pending",IF(N87&lt;=O87,"Yes","No"))</x:f>
        <x:v>Yes</x:v>
      </x:c>
      <x:c r="Q87" s="10" t="inlineStr">
        <x:is>
          <x:t xml:space="preserve">No</x:t>
        </x:is>
      </x:c>
      <x:c r="R87" s="12" t="n">
        <x:v>3</x:v>
      </x:c>
      <x:c r="S87" s="11" t="inlineStr">
        <x:is>
          <x:t xml:space="preserve">Credential issue</x:t>
        </x:is>
      </x:c>
      <x:c r="T87" s="5" t="inlineStr">
        <x:is>
          <x:t xml:space="preserve">Validated identity, restored access path, and confirmed successful login.</x:t>
        </x:is>
      </x:c>
      <x:c r="U87" s="44" t="n">
        <x:v>46084.46180555555</x:v>
      </x:c>
    </x:row>
    <x:row r="88">
      <x:c r="A88" s="8" t="inlineStr">
        <x:is>
          <x:t xml:space="preserve">INC-202603-0087</x:t>
        </x:is>
      </x:c>
      <x:c r="B88" s="44" t="n">
        <x:v>46100.84166666667</x:v>
      </x:c>
      <x:c r="C88" s="10" t="inlineStr">
        <x:is>
          <x:t xml:space="preserve">US</x:t>
        </x:is>
      </x:c>
      <x:c r="D88" s="8" t="inlineStr">
        <x:is>
          <x:t xml:space="preserve">User 087</x:t>
        </x:is>
      </x:c>
      <x:c r="E88" s="11" t="inlineStr">
        <x:is>
          <x:t xml:space="preserve">Audit</x:t>
        </x:is>
      </x:c>
      <x:c r="F88" s="10" t="inlineStr">
        <x:is>
          <x:t xml:space="preserve">Chat</x:t>
        </x:is>
      </x:c>
      <x:c r="G88" s="11" t="inlineStr">
        <x:is>
          <x:t xml:space="preserve">Software &amp; Application</x:t>
        </x:is>
      </x:c>
      <x:c r="H88" s="11" t="inlineStr">
        <x:is>
          <x:t xml:space="preserve">Update failure</x:t>
        </x:is>
      </x:c>
      <x:c r="I88" s="10" t="inlineStr">
        <x:is>
          <x:t xml:space="preserve">Medium</x:t>
        </x:is>
      </x:c>
      <x:c r="J88" s="10" t="inlineStr">
        <x:is>
          <x:t xml:space="preserve">Resolved</x:t>
        </x:is>
      </x:c>
      <x:c r="K88" s="11" t="inlineStr">
        <x:is>
          <x:t xml:space="preserve">L1 Endpoint Support</x:t>
        </x:is>
      </x:c>
      <x:c r="L88" s="10" t="inlineStr">
        <x:is>
          <x:t xml:space="preserve">Agent G</x:t>
        </x:is>
      </x:c>
      <x:c r="M88" s="12" t="n">
        <x:v>31</x:v>
      </x:c>
      <x:c r="N88" s="45" t="n">
        <x:v>8.5</x:v>
      </x:c>
      <x:c r="O88" s="12">
        <x:f>XLOOKUP(I88,SLA_Rules!$A$4:$A$7,SLA_Rules!$B$4:$B$7,"")</x:f>
        <x:v>16</x:v>
      </x:c>
      <x:c r="P88" s="12" t="str">
        <x:f>IF(J88&lt;&gt;"Resolved","Pending",IF(N88&lt;=O88,"Yes","No"))</x:f>
        <x:v>Yes</x:v>
      </x:c>
      <x:c r="Q88" s="10" t="inlineStr">
        <x:is>
          <x:t xml:space="preserve">No</x:t>
        </x:is>
      </x:c>
      <x:c r="R88" s="12" t="n">
        <x:v>5</x:v>
      </x:c>
      <x:c r="S88" s="11" t="inlineStr">
        <x:is>
          <x:t xml:space="preserve">Permission mismatch</x:t>
        </x:is>
      </x:c>
      <x:c r="T88" s="5" t="inlineStr">
        <x:is>
          <x:t xml:space="preserve">Validated installation/configuration and completed application repair steps.</x:t>
        </x:is>
      </x:c>
      <x:c r="U88" s="44" t="n">
        <x:v>46101.19583333333</x:v>
      </x:c>
    </x:row>
    <x:row r="89">
      <x:c r="A89" s="8" t="inlineStr">
        <x:is>
          <x:t xml:space="preserve">INC-202603-0088</x:t>
        </x:is>
      </x:c>
      <x:c r="B89" s="44" t="n">
        <x:v>46098.79861111111</x:v>
      </x:c>
      <x:c r="C89" s="10" t="inlineStr">
        <x:is>
          <x:t xml:space="preserve">India</x:t>
        </x:is>
      </x:c>
      <x:c r="D89" s="8" t="inlineStr">
        <x:is>
          <x:t xml:space="preserve">User 088</x:t>
        </x:is>
      </x:c>
      <x:c r="E89" s="11" t="inlineStr">
        <x:is>
          <x:t xml:space="preserve">Operations</x:t>
        </x:is>
      </x:c>
      <x:c r="F89" s="10" t="inlineStr">
        <x:is>
          <x:t xml:space="preserve">Phone</x:t>
        </x:is>
      </x:c>
      <x:c r="G89" s="11" t="inlineStr">
        <x:is>
          <x:t xml:space="preserve">Login &amp; Access</x:t>
        </x:is>
      </x:c>
      <x:c r="H89" s="11" t="inlineStr">
        <x:is>
          <x:t xml:space="preserve">MFA prompt loop</x:t>
        </x:is>
      </x:c>
      <x:c r="I89" s="10" t="inlineStr">
        <x:is>
          <x:t xml:space="preserve">Critical</x:t>
        </x:is>
      </x:c>
      <x:c r="J89" s="10" t="inlineStr">
        <x:is>
          <x:t xml:space="preserve">Resolved</x:t>
        </x:is>
      </x:c>
      <x:c r="K89" s="11" t="inlineStr">
        <x:is>
          <x:t xml:space="preserve">L1 Identity Support</x:t>
        </x:is>
      </x:c>
      <x:c r="L89" s="10" t="inlineStr">
        <x:is>
          <x:t xml:space="preserve">Agent E</x:t>
        </x:is>
      </x:c>
      <x:c r="M89" s="12" t="n">
        <x:v>15</x:v>
      </x:c>
      <x:c r="N89" s="45" t="n">
        <x:v>3.5</x:v>
      </x:c>
      <x:c r="O89" s="12">
        <x:f>XLOOKUP(I89,SLA_Rules!$A$4:$A$7,SLA_Rules!$B$4:$B$7,"")</x:f>
        <x:v>4</x:v>
      </x:c>
      <x:c r="P89" s="12" t="str">
        <x:f>IF(J89&lt;&gt;"Resolved","Pending",IF(N89&lt;=O89,"Yes","No"))</x:f>
        <x:v>Yes</x:v>
      </x:c>
      <x:c r="Q89" s="10" t="inlineStr">
        <x:is>
          <x:t xml:space="preserve">No</x:t>
        </x:is>
      </x:c>
      <x:c r="R89" s="12" t="n">
        <x:v>4</x:v>
      </x:c>
      <x:c r="S89" s="11" t="inlineStr">
        <x:is>
          <x:t xml:space="preserve">Policy enforcement</x:t>
        </x:is>
      </x:c>
      <x:c r="T89" s="5" t="inlineStr">
        <x:is>
          <x:t xml:space="preserve">Validated identity, restored access path, and confirmed successful login.</x:t>
        </x:is>
      </x:c>
      <x:c r="U89" s="44" t="n">
        <x:v>46098.94444444445</x:v>
      </x:c>
    </x:row>
    <x:row r="90">
      <x:c r="A90" s="8" t="inlineStr">
        <x:is>
          <x:t xml:space="preserve">INC-202603-0089</x:t>
        </x:is>
      </x:c>
      <x:c r="B90" s="44" t="n">
        <x:v>46084.77916666667</x:v>
      </x:c>
      <x:c r="C90" s="10" t="inlineStr">
        <x:is>
          <x:t xml:space="preserve">US</x:t>
        </x:is>
      </x:c>
      <x:c r="D90" s="8" t="inlineStr">
        <x:is>
          <x:t xml:space="preserve">User 089</x:t>
        </x:is>
      </x:c>
      <x:c r="E90" s="11" t="inlineStr">
        <x:is>
          <x:t xml:space="preserve">Internal Services</x:t>
        </x:is>
      </x:c>
      <x:c r="F90" s="10" t="inlineStr">
        <x:is>
          <x:t xml:space="preserve">Email</x:t>
        </x:is>
      </x:c>
      <x:c r="G90" s="11" t="inlineStr">
        <x:is>
          <x:t xml:space="preserve">Login &amp; Access</x:t>
        </x:is>
      </x:c>
      <x:c r="H90" s="11" t="inlineStr">
        <x:is>
          <x:t xml:space="preserve">MFA prompt loop</x:t>
        </x:is>
      </x:c>
      <x:c r="I90" s="10" t="inlineStr">
        <x:is>
          <x:t xml:space="preserve">Critical</x:t>
        </x:is>
      </x:c>
      <x:c r="J90" s="10" t="inlineStr">
        <x:is>
          <x:t xml:space="preserve">Resolved</x:t>
        </x:is>
      </x:c>
      <x:c r="K90" s="11" t="inlineStr">
        <x:is>
          <x:t xml:space="preserve">L1 Global Service Desk</x:t>
        </x:is>
      </x:c>
      <x:c r="L90" s="10" t="inlineStr">
        <x:is>
          <x:t xml:space="preserve">Agent C</x:t>
        </x:is>
      </x:c>
      <x:c r="M90" s="12" t="n">
        <x:v>15</x:v>
      </x:c>
      <x:c r="N90" s="45" t="n">
        <x:v>1.7</x:v>
      </x:c>
      <x:c r="O90" s="12">
        <x:f>XLOOKUP(I90,SLA_Rules!$A$4:$A$7,SLA_Rules!$B$4:$B$7,"")</x:f>
        <x:v>4</x:v>
      </x:c>
      <x:c r="P90" s="12" t="str">
        <x:f>IF(J90&lt;&gt;"Resolved","Pending",IF(N90&lt;=O90,"Yes","No"))</x:f>
        <x:v>Yes</x:v>
      </x:c>
      <x:c r="Q90" s="10" t="inlineStr">
        <x:is>
          <x:t xml:space="preserve">No</x:t>
        </x:is>
      </x:c>
      <x:c r="R90" s="12" t="n">
        <x:v>4</x:v>
      </x:c>
      <x:c r="S90" s="11" t="inlineStr">
        <x:is>
          <x:t xml:space="preserve">Credential issue</x:t>
        </x:is>
      </x:c>
      <x:c r="T90" s="5" t="inlineStr">
        <x:is>
          <x:t xml:space="preserve">Validated identity, restored access path, and confirmed successful login.</x:t>
        </x:is>
      </x:c>
      <x:c r="U90" s="44" t="n">
        <x:v>46084.85</x:v>
      </x:c>
    </x:row>
    <x:row r="91">
      <x:c r="A91" s="8" t="inlineStr">
        <x:is>
          <x:t xml:space="preserve">INC-202603-0090</x:t>
        </x:is>
      </x:c>
      <x:c r="B91" s="44" t="n">
        <x:v>46093.01597222222</x:v>
      </x:c>
      <x:c r="C91" s="10" t="inlineStr">
        <x:is>
          <x:t xml:space="preserve">UK</x:t>
        </x:is>
      </x:c>
      <x:c r="D91" s="8" t="inlineStr">
        <x:is>
          <x:t xml:space="preserve">User 090</x:t>
        </x:is>
      </x:c>
      <x:c r="E91" s="11" t="inlineStr">
        <x:is>
          <x:t xml:space="preserve">Tax</x:t>
        </x:is>
      </x:c>
      <x:c r="F91" s="10" t="inlineStr">
        <x:is>
          <x:t xml:space="preserve">Chat</x:t>
        </x:is>
      </x:c>
      <x:c r="G91" s="11" t="inlineStr">
        <x:is>
          <x:t xml:space="preserve">Email &amp; Outlook</x:t>
        </x:is>
      </x:c>
      <x:c r="H91" s="11" t="inlineStr">
        <x:is>
          <x:t xml:space="preserve">Calendar invite issue</x:t>
        </x:is>
      </x:c>
      <x:c r="I91" s="10" t="inlineStr">
        <x:is>
          <x:t xml:space="preserve">Low</x:t>
        </x:is>
      </x:c>
      <x:c r="J91" s="10" t="inlineStr">
        <x:is>
          <x:t xml:space="preserve">Resolved</x:t>
        </x:is>
      </x:c>
      <x:c r="K91" s="11" t="inlineStr">
        <x:is>
          <x:t xml:space="preserve">L1 Endpoint Support</x:t>
        </x:is>
      </x:c>
      <x:c r="L91" s="10" t="inlineStr">
        <x:is>
          <x:t xml:space="preserve">Agent E</x:t>
        </x:is>
      </x:c>
      <x:c r="M91" s="12" t="n">
        <x:v>111</x:v>
      </x:c>
      <x:c r="N91" s="45" t="n">
        <x:v>21.9</x:v>
      </x:c>
      <x:c r="O91" s="12">
        <x:f>XLOOKUP(I91,SLA_Rules!$A$4:$A$7,SLA_Rules!$B$4:$B$7,"")</x:f>
        <x:v>24</x:v>
      </x:c>
      <x:c r="P91" s="12" t="str">
        <x:f>IF(J91&lt;&gt;"Resolved","Pending",IF(N91&lt;=O91,"Yes","No"))</x:f>
        <x:v>Yes</x:v>
      </x:c>
      <x:c r="Q91" s="10" t="inlineStr">
        <x:is>
          <x:t xml:space="preserve">No</x:t>
        </x:is>
      </x:c>
      <x:c r="R91" s="12" t="n">
        <x:v>5</x:v>
      </x:c>
      <x:c r="S91" s="11" t="inlineStr">
        <x:is>
          <x:t xml:space="preserve">Permission mismatch</x:t>
        </x:is>
      </x:c>
      <x:c r="T91" s="5" t="inlineStr">
        <x:is>
          <x:t xml:space="preserve">Cleared profile/cache and validated mailbox connectivity with user.</x:t>
        </x:is>
      </x:c>
      <x:c r="U91" s="44" t="n">
        <x:v>46093.92847222222</x:v>
      </x:c>
    </x:row>
    <x:row r="92">
      <x:c r="A92" s="8" t="inlineStr">
        <x:is>
          <x:t xml:space="preserve">INC-202603-0091</x:t>
        </x:is>
      </x:c>
      <x:c r="B92" s="44" t="n">
        <x:v>46101.19305555556</x:v>
      </x:c>
      <x:c r="C92" s="10" t="inlineStr">
        <x:is>
          <x:t xml:space="preserve">APAC</x:t>
        </x:is>
      </x:c>
      <x:c r="D92" s="8" t="inlineStr">
        <x:is>
          <x:t xml:space="preserve">User 091</x:t>
        </x:is>
      </x:c>
      <x:c r="E92" s="11" t="inlineStr">
        <x:is>
          <x:t xml:space="preserve">Audit</x:t>
        </x:is>
      </x:c>
      <x:c r="F92" s="10" t="inlineStr">
        <x:is>
          <x:t xml:space="preserve">Phone</x:t>
        </x:is>
      </x:c>
      <x:c r="G92" s="11" t="inlineStr">
        <x:is>
          <x:t xml:space="preserve">Login &amp; Access</x:t>
        </x:is>
      </x:c>
      <x:c r="H92" s="11" t="inlineStr">
        <x:is>
          <x:t xml:space="preserve">SSO failure</x:t>
        </x:is>
      </x:c>
      <x:c r="I92" s="10" t="inlineStr">
        <x:is>
          <x:t xml:space="preserve">High</x:t>
        </x:is>
      </x:c>
      <x:c r="J92" s="10" t="inlineStr">
        <x:is>
          <x:t xml:space="preserve">Resolved</x:t>
        </x:is>
      </x:c>
      <x:c r="K92" s="11" t="inlineStr">
        <x:is>
          <x:t xml:space="preserve">L1 Identity Support</x:t>
        </x:is>
      </x:c>
      <x:c r="L92" s="10" t="inlineStr">
        <x:is>
          <x:t xml:space="preserve">Agent G</x:t>
        </x:is>
      </x:c>
      <x:c r="M92" s="12" t="n">
        <x:v>16</x:v>
      </x:c>
      <x:c r="N92" s="45" t="n">
        <x:v>2.2</x:v>
      </x:c>
      <x:c r="O92" s="12">
        <x:f>XLOOKUP(I92,SLA_Rules!$A$4:$A$7,SLA_Rules!$B$4:$B$7,"")</x:f>
        <x:v>8</x:v>
      </x:c>
      <x:c r="P92" s="12" t="str">
        <x:f>IF(J92&lt;&gt;"Resolved","Pending",IF(N92&lt;=O92,"Yes","No"))</x:f>
        <x:v>Yes</x:v>
      </x:c>
      <x:c r="Q92" s="10" t="inlineStr">
        <x:is>
          <x:t xml:space="preserve">Yes</x:t>
        </x:is>
      </x:c>
      <x:c r="R92" s="12" t="n">
        <x:v>5</x:v>
      </x:c>
      <x:c r="S92" s="11" t="inlineStr">
        <x:is>
          <x:t xml:space="preserve">Application cache</x:t>
        </x:is>
      </x:c>
      <x:c r="T92" s="5" t="inlineStr">
        <x:is>
          <x:t xml:space="preserve">Validated identity, restored access path, and confirmed successful login.</x:t>
        </x:is>
      </x:c>
      <x:c r="U92" s="44" t="n">
        <x:v>46101.28472222222</x:v>
      </x:c>
    </x:row>
    <x:row r="93">
      <x:c r="A93" s="8" t="inlineStr">
        <x:is>
          <x:t xml:space="preserve">INC-202603-0092</x:t>
        </x:is>
      </x:c>
      <x:c r="B93" s="44" t="n">
        <x:v>46091.66458333333</x:v>
      </x:c>
      <x:c r="C93" s="10" t="inlineStr">
        <x:is>
          <x:t xml:space="preserve">UK</x:t>
        </x:is>
      </x:c>
      <x:c r="D93" s="8" t="inlineStr">
        <x:is>
          <x:t xml:space="preserve">User 092</x:t>
        </x:is>
      </x:c>
      <x:c r="E93" s="11" t="inlineStr">
        <x:is>
          <x:t xml:space="preserve">Risk Advisory</x:t>
        </x:is>
      </x:c>
      <x:c r="F93" s="10" t="inlineStr">
        <x:is>
          <x:t xml:space="preserve">Chat</x:t>
        </x:is>
      </x:c>
      <x:c r="G93" s="11" t="inlineStr">
        <x:is>
          <x:t xml:space="preserve">Software &amp; Application</x:t>
        </x:is>
      </x:c>
      <x:c r="H93" s="11" t="inlineStr">
        <x:is>
          <x:t xml:space="preserve">Install failed</x:t>
        </x:is>
      </x:c>
      <x:c r="I93" s="10" t="inlineStr">
        <x:is>
          <x:t xml:space="preserve">Medium</x:t>
        </x:is>
      </x:c>
      <x:c r="J93" s="10" t="inlineStr">
        <x:is>
          <x:t xml:space="preserve">Resolved</x:t>
        </x:is>
      </x:c>
      <x:c r="K93" s="11" t="inlineStr">
        <x:is>
          <x:t xml:space="preserve">L1 Network Support</x:t>
        </x:is>
      </x:c>
      <x:c r="L93" s="10" t="inlineStr">
        <x:is>
          <x:t xml:space="preserve">Agent B</x:t>
        </x:is>
      </x:c>
      <x:c r="M93" s="12" t="n">
        <x:v>68</x:v>
      </x:c>
      <x:c r="N93" s="45" t="n">
        <x:v>19.2</x:v>
      </x:c>
      <x:c r="O93" s="12">
        <x:f>XLOOKUP(I93,SLA_Rules!$A$4:$A$7,SLA_Rules!$B$4:$B$7,"")</x:f>
        <x:v>16</x:v>
      </x:c>
      <x:c r="P93" s="12" t="str">
        <x:f>IF(J93&lt;&gt;"Resolved","Pending",IF(N93&lt;=O93,"Yes","No"))</x:f>
        <x:v>No</x:v>
      </x:c>
      <x:c r="Q93" s="10" t="inlineStr">
        <x:is>
          <x:t xml:space="preserve">Yes</x:t>
        </x:is>
      </x:c>
      <x:c r="R93" s="12" t="n">
        <x:v>4</x:v>
      </x:c>
      <x:c r="S93" s="11" t="inlineStr">
        <x:is>
          <x:t xml:space="preserve">Expired password</x:t>
        </x:is>
      </x:c>
      <x:c r="T93" s="5" t="inlineStr">
        <x:is>
          <x:t xml:space="preserve">Validated installation/configuration and completed application repair steps.</x:t>
        </x:is>
      </x:c>
      <x:c r="U93" s="44" t="n">
        <x:v>46092.46458333333</x:v>
      </x:c>
    </x:row>
    <x:row r="94">
      <x:c r="A94" s="8" t="inlineStr">
        <x:is>
          <x:t xml:space="preserve">INC-202603-0093</x:t>
        </x:is>
      </x:c>
      <x:c r="B94" s="44" t="n">
        <x:v>46102.66319444445</x:v>
      </x:c>
      <x:c r="C94" s="10" t="inlineStr">
        <x:is>
          <x:t xml:space="preserve">India</x:t>
        </x:is>
      </x:c>
      <x:c r="D94" s="8" t="inlineStr">
        <x:is>
          <x:t xml:space="preserve">User 093</x:t>
        </x:is>
      </x:c>
      <x:c r="E94" s="11" t="inlineStr">
        <x:is>
          <x:t xml:space="preserve">Consulting</x:t>
        </x:is>
      </x:c>
      <x:c r="F94" s="10" t="inlineStr">
        <x:is>
          <x:t xml:space="preserve">Phone</x:t>
        </x:is>
      </x:c>
      <x:c r="G94" s="11" t="inlineStr">
        <x:is>
          <x:t xml:space="preserve">Hardware</x:t>
        </x:is>
      </x:c>
      <x:c r="H94" s="11" t="inlineStr">
        <x:is>
          <x:t xml:space="preserve">Blue screen</x:t>
        </x:is>
      </x:c>
      <x:c r="I94" s="10" t="inlineStr">
        <x:is>
          <x:t xml:space="preserve">High</x:t>
        </x:is>
      </x:c>
      <x:c r="J94" s="10" t="inlineStr">
        <x:is>
          <x:t xml:space="preserve">Resolved</x:t>
        </x:is>
      </x:c>
      <x:c r="K94" s="11" t="inlineStr">
        <x:is>
          <x:t xml:space="preserve">L1 Messaging Support</x:t>
        </x:is>
      </x:c>
      <x:c r="L94" s="10" t="inlineStr">
        <x:is>
          <x:t xml:space="preserve">Agent A</x:t>
        </x:is>
      </x:c>
      <x:c r="M94" s="12" t="n">
        <x:v>39</x:v>
      </x:c>
      <x:c r="N94" s="45" t="n">
        <x:v>7.2</x:v>
      </x:c>
      <x:c r="O94" s="12">
        <x:f>XLOOKUP(I94,SLA_Rules!$A$4:$A$7,SLA_Rules!$B$4:$B$7,"")</x:f>
        <x:v>8</x:v>
      </x:c>
      <x:c r="P94" s="12" t="str">
        <x:f>IF(J94&lt;&gt;"Resolved","Pending",IF(N94&lt;=O94,"Yes","No"))</x:f>
        <x:v>Yes</x:v>
      </x:c>
      <x:c r="Q94" s="10" t="inlineStr">
        <x:is>
          <x:t xml:space="preserve">No</x:t>
        </x:is>
      </x:c>
      <x:c r="R94" s="12" t="n">
        <x:v>5</x:v>
      </x:c>
      <x:c r="S94" s="11" t="inlineStr">
        <x:is>
          <x:t xml:space="preserve">Configuration drift</x:t>
        </x:is>
      </x:c>
      <x:c r="T94" s="5" t="inlineStr">
        <x:is>
          <x:t xml:space="preserve">Ran endpoint checks and provided workaround or hardware escalation as needed.</x:t>
        </x:is>
      </x:c>
      <x:c r="U94" s="44" t="n">
        <x:v>46102.96319444444</x:v>
      </x:c>
    </x:row>
    <x:row r="95">
      <x:c r="A95" s="8" t="inlineStr">
        <x:is>
          <x:t xml:space="preserve">INC-202603-0094</x:t>
        </x:is>
      </x:c>
      <x:c r="B95" s="44" t="n">
        <x:v>46095.05902777778</x:v>
      </x:c>
      <x:c r="C95" s="10" t="inlineStr">
        <x:is>
          <x:t xml:space="preserve">India</x:t>
        </x:is>
      </x:c>
      <x:c r="D95" s="8" t="inlineStr">
        <x:is>
          <x:t xml:space="preserve">User 094</x:t>
        </x:is>
      </x:c>
      <x:c r="E95" s="11" t="inlineStr">
        <x:is>
          <x:t xml:space="preserve">Operations</x:t>
        </x:is>
      </x:c>
      <x:c r="F95" s="10" t="inlineStr">
        <x:is>
          <x:t xml:space="preserve">Web Ticket</x:t>
        </x:is>
      </x:c>
      <x:c r="G95" s="11" t="inlineStr">
        <x:is>
          <x:t xml:space="preserve">Email &amp; Outlook</x:t>
        </x:is>
      </x:c>
      <x:c r="H95" s="11" t="inlineStr">
        <x:is>
          <x:t xml:space="preserve">Search not working</x:t>
        </x:is>
      </x:c>
      <x:c r="I95" s="10" t="inlineStr">
        <x:is>
          <x:t xml:space="preserve">Medium</x:t>
        </x:is>
      </x:c>
      <x:c r="J95" s="10" t="inlineStr">
        <x:is>
          <x:t xml:space="preserve">In Progress</x:t>
        </x:is>
      </x:c>
      <x:c r="K95" s="11" t="inlineStr">
        <x:is>
          <x:t xml:space="preserve">L1 Messaging Support</x:t>
        </x:is>
      </x:c>
      <x:c r="L95" s="10" t="inlineStr">
        <x:is>
          <x:t xml:space="preserve">Agent A</x:t>
        </x:is>
      </x:c>
      <x:c r="M95" s="12" t="n">
        <x:v>82</x:v>
      </x:c>
      <x:c r="N95" s="12" t="n"/>
      <x:c r="O95" s="12">
        <x:f>XLOOKUP(I95,SLA_Rules!$A$4:$A$7,SLA_Rules!$B$4:$B$7,"")</x:f>
        <x:v>16</x:v>
      </x:c>
      <x:c r="P95" s="12" t="str">
        <x:f>IF(J95&lt;&gt;"Resolved","Pending",IF(N95&lt;=O95,"Yes","No"))</x:f>
        <x:v>Pending</x:v>
      </x:c>
      <x:c r="Q95" s="10" t="inlineStr">
        <x:is>
          <x:t xml:space="preserve">No</x:t>
        </x:is>
      </x:c>
      <x:c r="R95" s="12" t="n"/>
      <x:c r="S95" s="11" t="inlineStr">
        <x:is>
          <x:t xml:space="preserve">Pending update</x:t>
        </x:is>
      </x:c>
      <x:c r="T95" s="5" t="inlineStr">
        <x:is>
          <x:t xml:space="preserve">Cleared profile/cache and validated mailbox connectivity with user.</x:t>
        </x:is>
      </x:c>
      <x:c r="U95" s="8" t="n"/>
    </x:row>
    <x:row r="96">
      <x:c r="A96" s="8" t="inlineStr">
        <x:is>
          <x:t xml:space="preserve">INC-202603-0095</x:t>
        </x:is>
      </x:c>
      <x:c r="B96" s="44" t="n">
        <x:v>46083.41527777778</x:v>
      </x:c>
      <x:c r="C96" s="10" t="inlineStr">
        <x:is>
          <x:t xml:space="preserve">APAC</x:t>
        </x:is>
      </x:c>
      <x:c r="D96" s="8" t="inlineStr">
        <x:is>
          <x:t xml:space="preserve">User 095</x:t>
        </x:is>
      </x:c>
      <x:c r="E96" s="11" t="inlineStr">
        <x:is>
          <x:t xml:space="preserve">Finance</x:t>
        </x:is>
      </x:c>
      <x:c r="F96" s="10" t="inlineStr">
        <x:is>
          <x:t xml:space="preserve">Chat</x:t>
        </x:is>
      </x:c>
      <x:c r="G96" s="11" t="inlineStr">
        <x:is>
          <x:t xml:space="preserve">Printer &amp; Peripheral</x:t>
        </x:is>
      </x:c>
      <x:c r="H96" s="11" t="inlineStr">
        <x:is>
          <x:t xml:space="preserve">USB device not detected</x:t>
        </x:is>
      </x:c>
      <x:c r="I96" s="10" t="inlineStr">
        <x:is>
          <x:t xml:space="preserve">Low</x:t>
        </x:is>
      </x:c>
      <x:c r="J96" s="10" t="inlineStr">
        <x:is>
          <x:t xml:space="preserve">Resolved</x:t>
        </x:is>
      </x:c>
      <x:c r="K96" s="11" t="inlineStr">
        <x:is>
          <x:t xml:space="preserve">L1 Identity Support</x:t>
        </x:is>
      </x:c>
      <x:c r="L96" s="10" t="inlineStr">
        <x:is>
          <x:t xml:space="preserve">Agent B</x:t>
        </x:is>
      </x:c>
      <x:c r="M96" s="12" t="n">
        <x:v>59</x:v>
      </x:c>
      <x:c r="N96" s="45" t="n">
        <x:v>17</x:v>
      </x:c>
      <x:c r="O96" s="12">
        <x:f>XLOOKUP(I96,SLA_Rules!$A$4:$A$7,SLA_Rules!$B$4:$B$7,"")</x:f>
        <x:v>24</x:v>
      </x:c>
      <x:c r="P96" s="12" t="str">
        <x:f>IF(J96&lt;&gt;"Resolved","Pending",IF(N96&lt;=O96,"Yes","No"))</x:f>
        <x:v>Yes</x:v>
      </x:c>
      <x:c r="Q96" s="10" t="inlineStr">
        <x:is>
          <x:t xml:space="preserve">No</x:t>
        </x:is>
      </x:c>
      <x:c r="R96" s="12" t="n">
        <x:v>5</x:v>
      </x:c>
      <x:c r="S96" s="11" t="inlineStr">
        <x:is>
          <x:t xml:space="preserve">Permission mismatch</x:t>
        </x:is>
      </x:c>
      <x:c r="T96" s="5" t="inlineStr">
        <x:is>
          <x:t xml:space="preserve">Remapped device/driver and confirmed successful test output.</x:t>
        </x:is>
      </x:c>
      <x:c r="U96" s="44" t="n">
        <x:v>46084.12361111111</x:v>
      </x:c>
    </x:row>
    <x:row r="97">
      <x:c r="A97" s="8" t="inlineStr">
        <x:is>
          <x:t xml:space="preserve">INC-202603-0096</x:t>
        </x:is>
      </x:c>
      <x:c r="B97" s="44" t="n">
        <x:v>46091.30486111111</x:v>
      </x:c>
      <x:c r="C97" s="10" t="inlineStr">
        <x:is>
          <x:t xml:space="preserve">India</x:t>
        </x:is>
      </x:c>
      <x:c r="D97" s="8" t="inlineStr">
        <x:is>
          <x:t xml:space="preserve">User 096</x:t>
        </x:is>
      </x:c>
      <x:c r="E97" s="11" t="inlineStr">
        <x:is>
          <x:t xml:space="preserve">HR</x:t>
        </x:is>
      </x:c>
      <x:c r="F97" s="10" t="inlineStr">
        <x:is>
          <x:t xml:space="preserve">Phone</x:t>
        </x:is>
      </x:c>
      <x:c r="G97" s="11" t="inlineStr">
        <x:is>
          <x:t xml:space="preserve">Network &amp; VPN</x:t>
        </x:is>
      </x:c>
      <x:c r="H97" s="11" t="inlineStr">
        <x:is>
          <x:t xml:space="preserve">VPN not connecting</x:t>
        </x:is>
      </x:c>
      <x:c r="I97" s="10" t="inlineStr">
        <x:is>
          <x:t xml:space="preserve">High</x:t>
        </x:is>
      </x:c>
      <x:c r="J97" s="10" t="inlineStr">
        <x:is>
          <x:t xml:space="preserve">Resolved</x:t>
        </x:is>
      </x:c>
      <x:c r="K97" s="11" t="inlineStr">
        <x:is>
          <x:t xml:space="preserve">L1 Global Service Desk</x:t>
        </x:is>
      </x:c>
      <x:c r="L97" s="10" t="inlineStr">
        <x:is>
          <x:t xml:space="preserve">Agent G</x:t>
        </x:is>
      </x:c>
      <x:c r="M97" s="12" t="n">
        <x:v>35</x:v>
      </x:c>
      <x:c r="N97" s="45" t="n">
        <x:v>2.7</x:v>
      </x:c>
      <x:c r="O97" s="12">
        <x:f>XLOOKUP(I97,SLA_Rules!$A$4:$A$7,SLA_Rules!$B$4:$B$7,"")</x:f>
        <x:v>8</x:v>
      </x:c>
      <x:c r="P97" s="12" t="str">
        <x:f>IF(J97&lt;&gt;"Resolved","Pending",IF(N97&lt;=O97,"Yes","No"))</x:f>
        <x:v>Yes</x:v>
      </x:c>
      <x:c r="Q97" s="10" t="inlineStr">
        <x:is>
          <x:t xml:space="preserve">No</x:t>
        </x:is>
      </x:c>
      <x:c r="R97" s="12" t="n">
        <x:v>3</x:v>
      </x:c>
      <x:c r="S97" s="11" t="inlineStr">
        <x:is>
          <x:t xml:space="preserve">Permission mismatch</x:t>
        </x:is>
      </x:c>
      <x:c r="T97" s="5" t="inlineStr">
        <x:is>
          <x:t xml:space="preserve">Checked connectivity path, reconfigured VPN settings, and confirmed stable access.</x:t>
        </x:is>
      </x:c>
      <x:c r="U97" s="44" t="n">
        <x:v>46091.41736111111</x:v>
      </x:c>
    </x:row>
    <x:row r="98">
      <x:c r="A98" s="8" t="inlineStr">
        <x:is>
          <x:t xml:space="preserve">INC-202603-0097</x:t>
        </x:is>
      </x:c>
      <x:c r="B98" s="44" t="n">
        <x:v>46089.76805555556</x:v>
      </x:c>
      <x:c r="C98" s="10" t="inlineStr">
        <x:is>
          <x:t xml:space="preserve">UK</x:t>
        </x:is>
      </x:c>
      <x:c r="D98" s="8" t="inlineStr">
        <x:is>
          <x:t xml:space="preserve">User 097</x:t>
        </x:is>
      </x:c>
      <x:c r="E98" s="11" t="inlineStr">
        <x:is>
          <x:t xml:space="preserve">Audit</x:t>
        </x:is>
      </x:c>
      <x:c r="F98" s="10" t="inlineStr">
        <x:is>
          <x:t xml:space="preserve">Phone</x:t>
        </x:is>
      </x:c>
      <x:c r="G98" s="11" t="inlineStr">
        <x:is>
          <x:t xml:space="preserve">Software &amp; Application</x:t>
        </x:is>
      </x:c>
      <x:c r="H98" s="11" t="inlineStr">
        <x:is>
          <x:t xml:space="preserve">App crash</x:t>
        </x:is>
      </x:c>
      <x:c r="I98" s="10" t="inlineStr">
        <x:is>
          <x:t xml:space="preserve">Low</x:t>
        </x:is>
      </x:c>
      <x:c r="J98" s="10" t="inlineStr">
        <x:is>
          <x:t xml:space="preserve">Resolved</x:t>
        </x:is>
      </x:c>
      <x:c r="K98" s="11" t="inlineStr">
        <x:is>
          <x:t xml:space="preserve">L1 Network Support</x:t>
        </x:is>
      </x:c>
      <x:c r="L98" s="10" t="inlineStr">
        <x:is>
          <x:t xml:space="preserve">Agent C</x:t>
        </x:is>
      </x:c>
      <x:c r="M98" s="12" t="n">
        <x:v>116</x:v>
      </x:c>
      <x:c r="N98" s="45" t="n">
        <x:v>16.4</x:v>
      </x:c>
      <x:c r="O98" s="12">
        <x:f>XLOOKUP(I98,SLA_Rules!$A$4:$A$7,SLA_Rules!$B$4:$B$7,"")</x:f>
        <x:v>24</x:v>
      </x:c>
      <x:c r="P98" s="12" t="str">
        <x:f>IF(J98&lt;&gt;"Resolved","Pending",IF(N98&lt;=O98,"Yes","No"))</x:f>
        <x:v>Yes</x:v>
      </x:c>
      <x:c r="Q98" s="10" t="inlineStr">
        <x:is>
          <x:t xml:space="preserve">No</x:t>
        </x:is>
      </x:c>
      <x:c r="R98" s="12" t="n">
        <x:v>3</x:v>
      </x:c>
      <x:c r="S98" s="11" t="inlineStr">
        <x:is>
          <x:t xml:space="preserve">Driver problem</x:t>
        </x:is>
      </x:c>
      <x:c r="T98" s="5" t="inlineStr">
        <x:is>
          <x:t xml:space="preserve">Validated installation/configuration and completed application repair steps.</x:t>
        </x:is>
      </x:c>
      <x:c r="U98" s="44" t="n">
        <x:v>46090.45138888889</x:v>
      </x:c>
    </x:row>
    <x:row r="99">
      <x:c r="A99" s="8" t="inlineStr">
        <x:is>
          <x:t xml:space="preserve">INC-202603-0098</x:t>
        </x:is>
      </x:c>
      <x:c r="B99" s="44" t="n">
        <x:v>46105.01527777778</x:v>
      </x:c>
      <x:c r="C99" s="10" t="inlineStr">
        <x:is>
          <x:t xml:space="preserve">APAC</x:t>
        </x:is>
      </x:c>
      <x:c r="D99" s="8" t="inlineStr">
        <x:is>
          <x:t xml:space="preserve">User 098</x:t>
        </x:is>
      </x:c>
      <x:c r="E99" s="11" t="inlineStr">
        <x:is>
          <x:t xml:space="preserve">HR</x:t>
        </x:is>
      </x:c>
      <x:c r="F99" s="10" t="inlineStr">
        <x:is>
          <x:t xml:space="preserve">Phone</x:t>
        </x:is>
      </x:c>
      <x:c r="G99" s="11" t="inlineStr">
        <x:is>
          <x:t xml:space="preserve">Network &amp; VPN</x:t>
        </x:is>
      </x:c>
      <x:c r="H99" s="11" t="inlineStr">
        <x:is>
          <x:t xml:space="preserve">Remote desktop timeout</x:t>
        </x:is>
      </x:c>
      <x:c r="I99" s="10" t="inlineStr">
        <x:is>
          <x:t xml:space="preserve">High</x:t>
        </x:is>
      </x:c>
      <x:c r="J99" s="10" t="inlineStr">
        <x:is>
          <x:t xml:space="preserve">Resolved</x:t>
        </x:is>
      </x:c>
      <x:c r="K99" s="11" t="inlineStr">
        <x:is>
          <x:t xml:space="preserve">L1 Messaging Support</x:t>
        </x:is>
      </x:c>
      <x:c r="L99" s="10" t="inlineStr">
        <x:is>
          <x:t xml:space="preserve">Agent C</x:t>
        </x:is>
      </x:c>
      <x:c r="M99" s="12" t="n">
        <x:v>12</x:v>
      </x:c>
      <x:c r="N99" s="45" t="n">
        <x:v>3.4</x:v>
      </x:c>
      <x:c r="O99" s="12">
        <x:f>XLOOKUP(I99,SLA_Rules!$A$4:$A$7,SLA_Rules!$B$4:$B$7,"")</x:f>
        <x:v>8</x:v>
      </x:c>
      <x:c r="P99" s="12" t="str">
        <x:f>IF(J99&lt;&gt;"Resolved","Pending",IF(N99&lt;=O99,"Yes","No"))</x:f>
        <x:v>Yes</x:v>
      </x:c>
      <x:c r="Q99" s="10" t="inlineStr">
        <x:is>
          <x:t xml:space="preserve">No</x:t>
        </x:is>
      </x:c>
      <x:c r="R99" s="12" t="n">
        <x:v>5</x:v>
      </x:c>
      <x:c r="S99" s="11" t="inlineStr">
        <x:is>
          <x:t xml:space="preserve">Application cache</x:t>
        </x:is>
      </x:c>
      <x:c r="T99" s="5" t="inlineStr">
        <x:is>
          <x:t xml:space="preserve">Checked connectivity path, reconfigured VPN settings, and confirmed stable access.</x:t>
        </x:is>
      </x:c>
      <x:c r="U99" s="44" t="n">
        <x:v>46105.15694444445</x:v>
      </x:c>
    </x:row>
    <x:row r="100">
      <x:c r="A100" s="8" t="inlineStr">
        <x:is>
          <x:t xml:space="preserve">INC-202603-0099</x:t>
        </x:is>
      </x:c>
      <x:c r="B100" s="44" t="n">
        <x:v>46087.16944444444</x:v>
      </x:c>
      <x:c r="C100" s="10" t="inlineStr">
        <x:is>
          <x:t xml:space="preserve">UK</x:t>
        </x:is>
      </x:c>
      <x:c r="D100" s="8" t="inlineStr">
        <x:is>
          <x:t xml:space="preserve">User 099</x:t>
        </x:is>
      </x:c>
      <x:c r="E100" s="11" t="inlineStr">
        <x:is>
          <x:t xml:space="preserve">Operations</x:t>
        </x:is>
      </x:c>
      <x:c r="F100" s="10" t="inlineStr">
        <x:is>
          <x:t xml:space="preserve">Chat</x:t>
        </x:is>
      </x:c>
      <x:c r="G100" s="11" t="inlineStr">
        <x:is>
          <x:t xml:space="preserve">Login &amp; Access</x:t>
        </x:is>
      </x:c>
      <x:c r="H100" s="11" t="inlineStr">
        <x:is>
          <x:t xml:space="preserve">MFA prompt loop</x:t>
        </x:is>
      </x:c>
      <x:c r="I100" s="10" t="inlineStr">
        <x:is>
          <x:t xml:space="preserve">High</x:t>
        </x:is>
      </x:c>
      <x:c r="J100" s="10" t="inlineStr">
        <x:is>
          <x:t xml:space="preserve">Resolved</x:t>
        </x:is>
      </x:c>
      <x:c r="K100" s="11" t="inlineStr">
        <x:is>
          <x:t xml:space="preserve">L1 Identity Support</x:t>
        </x:is>
      </x:c>
      <x:c r="L100" s="10" t="inlineStr">
        <x:is>
          <x:t xml:space="preserve">Agent F</x:t>
        </x:is>
      </x:c>
      <x:c r="M100" s="12" t="n">
        <x:v>8</x:v>
      </x:c>
      <x:c r="N100" s="45" t="n">
        <x:v>7.2</x:v>
      </x:c>
      <x:c r="O100" s="12">
        <x:f>XLOOKUP(I100,SLA_Rules!$A$4:$A$7,SLA_Rules!$B$4:$B$7,"")</x:f>
        <x:v>8</x:v>
      </x:c>
      <x:c r="P100" s="12" t="str">
        <x:f>IF(J100&lt;&gt;"Resolved","Pending",IF(N100&lt;=O100,"Yes","No"))</x:f>
        <x:v>Yes</x:v>
      </x:c>
      <x:c r="Q100" s="10" t="inlineStr">
        <x:is>
          <x:t xml:space="preserve">Yes</x:t>
        </x:is>
      </x:c>
      <x:c r="R100" s="12" t="n">
        <x:v>4</x:v>
      </x:c>
      <x:c r="S100" s="11" t="inlineStr">
        <x:is>
          <x:t xml:space="preserve">Network instability</x:t>
        </x:is>
      </x:c>
      <x:c r="T100" s="5" t="inlineStr">
        <x:is>
          <x:t xml:space="preserve">Validated identity, restored access path, and confirmed successful login.</x:t>
        </x:is>
      </x:c>
      <x:c r="U100" s="44" t="n">
        <x:v>46087.46944444445</x:v>
      </x:c>
    </x:row>
    <x:row r="101">
      <x:c r="A101" s="8" t="inlineStr">
        <x:is>
          <x:t xml:space="preserve">INC-202603-0100</x:t>
        </x:is>
      </x:c>
      <x:c r="B101" s="44" t="n">
        <x:v>46102.2625</x:v>
      </x:c>
      <x:c r="C101" s="10" t="inlineStr">
        <x:is>
          <x:t xml:space="preserve">APAC</x:t>
        </x:is>
      </x:c>
      <x:c r="D101" s="8" t="inlineStr">
        <x:is>
          <x:t xml:space="preserve">User 100</x:t>
        </x:is>
      </x:c>
      <x:c r="E101" s="11" t="inlineStr">
        <x:is>
          <x:t xml:space="preserve">Internal Services</x:t>
        </x:is>
      </x:c>
      <x:c r="F101" s="10" t="inlineStr">
        <x:is>
          <x:t xml:space="preserve">Email</x:t>
        </x:is>
      </x:c>
      <x:c r="G101" s="11" t="inlineStr">
        <x:is>
          <x:t xml:space="preserve">Password Reset</x:t>
        </x:is>
      </x:c>
      <x:c r="H101" s="11" t="inlineStr">
        <x:is>
          <x:t xml:space="preserve">Unlock request</x:t>
        </x:is>
      </x:c>
      <x:c r="I101" s="10" t="inlineStr">
        <x:is>
          <x:t xml:space="preserve">Low</x:t>
        </x:is>
      </x:c>
      <x:c r="J101" s="10" t="inlineStr">
        <x:is>
          <x:t xml:space="preserve">Resolved</x:t>
        </x:is>
      </x:c>
      <x:c r="K101" s="11" t="inlineStr">
        <x:is>
          <x:t xml:space="preserve">L1 Global Service Desk</x:t>
        </x:is>
      </x:c>
      <x:c r="L101" s="10" t="inlineStr">
        <x:is>
          <x:t xml:space="preserve">Agent G</x:t>
        </x:is>
      </x:c>
      <x:c r="M101" s="12" t="n">
        <x:v>108</x:v>
      </x:c>
      <x:c r="N101" s="45" t="n">
        <x:v>18.6</x:v>
      </x:c>
      <x:c r="O101" s="12">
        <x:f>XLOOKUP(I101,SLA_Rules!$A$4:$A$7,SLA_Rules!$B$4:$B$7,"")</x:f>
        <x:v>24</x:v>
      </x:c>
      <x:c r="P101" s="12" t="str">
        <x:f>IF(J101&lt;&gt;"Resolved","Pending",IF(N101&lt;=O101,"Yes","No"))</x:f>
        <x:v>Yes</x:v>
      </x:c>
      <x:c r="Q101" s="10" t="inlineStr">
        <x:is>
          <x:t xml:space="preserve">No</x:t>
        </x:is>
      </x:c>
      <x:c r="R101" s="12" t="n">
        <x:v>4</x:v>
      </x:c>
      <x:c r="S101" s="11" t="inlineStr">
        <x:is>
          <x:t xml:space="preserve">Application cache</x:t>
        </x:is>
      </x:c>
      <x:c r="T101" s="5" t="inlineStr">
        <x:is>
          <x:t xml:space="preserve">Completed identity validation and processed password reset successfully.</x:t>
        </x:is>
      </x:c>
      <x:c r="U101" s="44" t="n">
        <x:v>46103.0375</x:v>
      </x:c>
    </x:row>
    <x:row r="102">
      <x:c r="A102" s="8" t="inlineStr">
        <x:is>
          <x:t xml:space="preserve">INC-202603-0101</x:t>
        </x:is>
      </x:c>
      <x:c r="B102" s="44" t="n">
        <x:v>46111.67847222222</x:v>
      </x:c>
      <x:c r="C102" s="10" t="inlineStr">
        <x:is>
          <x:t xml:space="preserve">US</x:t>
        </x:is>
      </x:c>
      <x:c r="D102" s="8" t="inlineStr">
        <x:is>
          <x:t xml:space="preserve">User 101</x:t>
        </x:is>
      </x:c>
      <x:c r="E102" s="11" t="inlineStr">
        <x:is>
          <x:t xml:space="preserve">Operations</x:t>
        </x:is>
      </x:c>
      <x:c r="F102" s="10" t="inlineStr">
        <x:is>
          <x:t xml:space="preserve">Web Ticket</x:t>
        </x:is>
      </x:c>
      <x:c r="G102" s="11" t="inlineStr">
        <x:is>
          <x:t xml:space="preserve">Network &amp; VPN</x:t>
        </x:is>
      </x:c>
      <x:c r="H102" s="11" t="inlineStr">
        <x:is>
          <x:t xml:space="preserve">DNS error</x:t>
        </x:is>
      </x:c>
      <x:c r="I102" s="10" t="inlineStr">
        <x:is>
          <x:t xml:space="preserve">Medium</x:t>
        </x:is>
      </x:c>
      <x:c r="J102" s="10" t="inlineStr">
        <x:is>
          <x:t xml:space="preserve">Open</x:t>
        </x:is>
      </x:c>
      <x:c r="K102" s="11" t="inlineStr">
        <x:is>
          <x:t xml:space="preserve">L1 Endpoint Support</x:t>
        </x:is>
      </x:c>
      <x:c r="L102" s="10" t="inlineStr">
        <x:is>
          <x:t xml:space="preserve">Agent C</x:t>
        </x:is>
      </x:c>
      <x:c r="M102" s="12" t="n">
        <x:v>28</x:v>
      </x:c>
      <x:c r="N102" s="12" t="n"/>
      <x:c r="O102" s="12">
        <x:f>XLOOKUP(I102,SLA_Rules!$A$4:$A$7,SLA_Rules!$B$4:$B$7,"")</x:f>
        <x:v>16</x:v>
      </x:c>
      <x:c r="P102" s="12" t="str">
        <x:f>IF(J102&lt;&gt;"Resolved","Pending",IF(N102&lt;=O102,"Yes","No"))</x:f>
        <x:v>Pending</x:v>
      </x:c>
      <x:c r="Q102" s="10" t="inlineStr">
        <x:is>
          <x:t xml:space="preserve">No</x:t>
        </x:is>
      </x:c>
      <x:c r="R102" s="12" t="n"/>
      <x:c r="S102" s="11" t="inlineStr">
        <x:is>
          <x:t xml:space="preserve">Credential issue</x:t>
        </x:is>
      </x:c>
      <x:c r="T102" s="5" t="inlineStr">
        <x:is>
          <x:t xml:space="preserve">Checked connectivity path, reconfigured VPN settings, and confirmed stable access.</x:t>
        </x:is>
      </x:c>
      <x:c r="U102" s="8" t="n"/>
    </x:row>
    <x:row r="103">
      <x:c r="A103" s="8" t="inlineStr">
        <x:is>
          <x:t xml:space="preserve">INC-202603-0102</x:t>
        </x:is>
      </x:c>
      <x:c r="B103" s="44" t="n">
        <x:v>46101.93541666667</x:v>
      </x:c>
      <x:c r="C103" s="10" t="inlineStr">
        <x:is>
          <x:t xml:space="preserve">India</x:t>
        </x:is>
      </x:c>
      <x:c r="D103" s="8" t="inlineStr">
        <x:is>
          <x:t xml:space="preserve">User 102</x:t>
        </x:is>
      </x:c>
      <x:c r="E103" s="11" t="inlineStr">
        <x:is>
          <x:t xml:space="preserve">Internal Services</x:t>
        </x:is>
      </x:c>
      <x:c r="F103" s="10" t="inlineStr">
        <x:is>
          <x:t xml:space="preserve">Phone</x:t>
        </x:is>
      </x:c>
      <x:c r="G103" s="11" t="inlineStr">
        <x:is>
          <x:t xml:space="preserve">Network &amp; VPN</x:t>
        </x:is>
      </x:c>
      <x:c r="H103" s="11" t="inlineStr">
        <x:is>
          <x:t xml:space="preserve">Wi-Fi unstable</x:t>
        </x:is>
      </x:c>
      <x:c r="I103" s="10" t="inlineStr">
        <x:is>
          <x:t xml:space="preserve">High</x:t>
        </x:is>
      </x:c>
      <x:c r="J103" s="10" t="inlineStr">
        <x:is>
          <x:t xml:space="preserve">Resolved</x:t>
        </x:is>
      </x:c>
      <x:c r="K103" s="11" t="inlineStr">
        <x:is>
          <x:t xml:space="preserve">L1 Messaging Support</x:t>
        </x:is>
      </x:c>
      <x:c r="L103" s="10" t="inlineStr">
        <x:is>
          <x:t xml:space="preserve">Agent D</x:t>
        </x:is>
      </x:c>
      <x:c r="M103" s="12" t="n">
        <x:v>34</x:v>
      </x:c>
      <x:c r="N103" s="45" t="n">
        <x:v>4</x:v>
      </x:c>
      <x:c r="O103" s="12">
        <x:f>XLOOKUP(I103,SLA_Rules!$A$4:$A$7,SLA_Rules!$B$4:$B$7,"")</x:f>
        <x:v>8</x:v>
      </x:c>
      <x:c r="P103" s="12" t="str">
        <x:f>IF(J103&lt;&gt;"Resolved","Pending",IF(N103&lt;=O103,"Yes","No"))</x:f>
        <x:v>Yes</x:v>
      </x:c>
      <x:c r="Q103" s="10" t="inlineStr">
        <x:is>
          <x:t xml:space="preserve">No</x:t>
        </x:is>
      </x:c>
      <x:c r="R103" s="12" t="n">
        <x:v>3</x:v>
      </x:c>
      <x:c r="S103" s="11" t="inlineStr">
        <x:is>
          <x:t xml:space="preserve">Application cache</x:t>
        </x:is>
      </x:c>
      <x:c r="T103" s="5" t="inlineStr">
        <x:is>
          <x:t xml:space="preserve">Checked connectivity path, reconfigured VPN settings, and confirmed stable access.</x:t>
        </x:is>
      </x:c>
      <x:c r="U103" s="44" t="n">
        <x:v>46102.10208333333</x:v>
      </x:c>
    </x:row>
    <x:row r="104">
      <x:c r="A104" s="8" t="inlineStr">
        <x:is>
          <x:t xml:space="preserve">INC-202603-0103</x:t>
        </x:is>
      </x:c>
      <x:c r="B104" s="44" t="n">
        <x:v>46107.98819444444</x:v>
      </x:c>
      <x:c r="C104" s="10" t="inlineStr">
        <x:is>
          <x:t xml:space="preserve">UK</x:t>
        </x:is>
      </x:c>
      <x:c r="D104" s="8" t="inlineStr">
        <x:is>
          <x:t xml:space="preserve">User 103</x:t>
        </x:is>
      </x:c>
      <x:c r="E104" s="11" t="inlineStr">
        <x:is>
          <x:t xml:space="preserve">HR</x:t>
        </x:is>
      </x:c>
      <x:c r="F104" s="10" t="inlineStr">
        <x:is>
          <x:t xml:space="preserve">Phone</x:t>
        </x:is>
      </x:c>
      <x:c r="G104" s="11" t="inlineStr">
        <x:is>
          <x:t xml:space="preserve">Software &amp; Application</x:t>
        </x:is>
      </x:c>
      <x:c r="H104" s="11" t="inlineStr">
        <x:is>
          <x:t xml:space="preserve">Plugin error</x:t>
        </x:is>
      </x:c>
      <x:c r="I104" s="10" t="inlineStr">
        <x:is>
          <x:t xml:space="preserve">High</x:t>
        </x:is>
      </x:c>
      <x:c r="J104" s="10" t="inlineStr">
        <x:is>
          <x:t xml:space="preserve">Resolved</x:t>
        </x:is>
      </x:c>
      <x:c r="K104" s="11" t="inlineStr">
        <x:is>
          <x:t xml:space="preserve">L1 Messaging Support</x:t>
        </x:is>
      </x:c>
      <x:c r="L104" s="10" t="inlineStr">
        <x:is>
          <x:t xml:space="preserve">Agent E</x:t>
        </x:is>
      </x:c>
      <x:c r="M104" s="12" t="n">
        <x:v>34</x:v>
      </x:c>
      <x:c r="N104" s="45" t="n">
        <x:v>1.4</x:v>
      </x:c>
      <x:c r="O104" s="12">
        <x:f>XLOOKUP(I104,SLA_Rules!$A$4:$A$7,SLA_Rules!$B$4:$B$7,"")</x:f>
        <x:v>8</x:v>
      </x:c>
      <x:c r="P104" s="12" t="str">
        <x:f>IF(J104&lt;&gt;"Resolved","Pending",IF(N104&lt;=O104,"Yes","No"))</x:f>
        <x:v>Yes</x:v>
      </x:c>
      <x:c r="Q104" s="10" t="inlineStr">
        <x:is>
          <x:t xml:space="preserve">Yes</x:t>
        </x:is>
      </x:c>
      <x:c r="R104" s="12" t="n">
        <x:v>3</x:v>
      </x:c>
      <x:c r="S104" s="11" t="inlineStr">
        <x:is>
          <x:t xml:space="preserve">Application cache</x:t>
        </x:is>
      </x:c>
      <x:c r="T104" s="5" t="inlineStr">
        <x:is>
          <x:t xml:space="preserve">Validated installation/configuration and completed application repair steps.</x:t>
        </x:is>
      </x:c>
      <x:c r="U104" s="44" t="n">
        <x:v>46108.04652777778</x:v>
      </x:c>
    </x:row>
    <x:row r="105">
      <x:c r="A105" s="8" t="inlineStr">
        <x:is>
          <x:t xml:space="preserve">INC-202603-0104</x:t>
        </x:is>
      </x:c>
      <x:c r="B105" s="44" t="n">
        <x:v>46084.75555555556</x:v>
      </x:c>
      <x:c r="C105" s="10" t="inlineStr">
        <x:is>
          <x:t xml:space="preserve">UK</x:t>
        </x:is>
      </x:c>
      <x:c r="D105" s="8" t="inlineStr">
        <x:is>
          <x:t xml:space="preserve">User 104</x:t>
        </x:is>
      </x:c>
      <x:c r="E105" s="11" t="inlineStr">
        <x:is>
          <x:t xml:space="preserve">Finance</x:t>
        </x:is>
      </x:c>
      <x:c r="F105" s="10" t="inlineStr">
        <x:is>
          <x:t xml:space="preserve">Web Ticket</x:t>
        </x:is>
      </x:c>
      <x:c r="G105" s="11" t="inlineStr">
        <x:is>
          <x:t xml:space="preserve">Email &amp; Outlook</x:t>
        </x:is>
      </x:c>
      <x:c r="H105" s="11" t="inlineStr">
        <x:is>
          <x:t xml:space="preserve">Search not working</x:t>
        </x:is>
      </x:c>
      <x:c r="I105" s="10" t="inlineStr">
        <x:is>
          <x:t xml:space="preserve">Medium</x:t>
        </x:is>
      </x:c>
      <x:c r="J105" s="10" t="inlineStr">
        <x:is>
          <x:t xml:space="preserve">Resolved</x:t>
        </x:is>
      </x:c>
      <x:c r="K105" s="11" t="inlineStr">
        <x:is>
          <x:t xml:space="preserve">L1 Endpoint Support</x:t>
        </x:is>
      </x:c>
      <x:c r="L105" s="10" t="inlineStr">
        <x:is>
          <x:t xml:space="preserve">Agent G</x:t>
        </x:is>
      </x:c>
      <x:c r="M105" s="12" t="n">
        <x:v>47</x:v>
      </x:c>
      <x:c r="N105" s="45" t="n">
        <x:v>7.5</x:v>
      </x:c>
      <x:c r="O105" s="12">
        <x:f>XLOOKUP(I105,SLA_Rules!$A$4:$A$7,SLA_Rules!$B$4:$B$7,"")</x:f>
        <x:v>16</x:v>
      </x:c>
      <x:c r="P105" s="12" t="str">
        <x:f>IF(J105&lt;&gt;"Resolved","Pending",IF(N105&lt;=O105,"Yes","No"))</x:f>
        <x:v>Yes</x:v>
      </x:c>
      <x:c r="Q105" s="10" t="inlineStr">
        <x:is>
          <x:t xml:space="preserve">No</x:t>
        </x:is>
      </x:c>
      <x:c r="R105" s="12" t="n">
        <x:v>4</x:v>
      </x:c>
      <x:c r="S105" s="11" t="inlineStr">
        <x:is>
          <x:t xml:space="preserve">Credential issue</x:t>
        </x:is>
      </x:c>
      <x:c r="T105" s="5" t="inlineStr">
        <x:is>
          <x:t xml:space="preserve">Cleared profile/cache and validated mailbox connectivity with user.</x:t>
        </x:is>
      </x:c>
      <x:c r="U105" s="44" t="n">
        <x:v>46085.06805555556</x:v>
      </x:c>
    </x:row>
    <x:row r="106">
      <x:c r="A106" s="8" t="inlineStr">
        <x:is>
          <x:t xml:space="preserve">INC-202603-0105</x:t>
        </x:is>
      </x:c>
      <x:c r="B106" s="44" t="n">
        <x:v>46101.40555555555</x:v>
      </x:c>
      <x:c r="C106" s="10" t="inlineStr">
        <x:is>
          <x:t xml:space="preserve">APAC</x:t>
        </x:is>
      </x:c>
      <x:c r="D106" s="8" t="inlineStr">
        <x:is>
          <x:t xml:space="preserve">User 105</x:t>
        </x:is>
      </x:c>
      <x:c r="E106" s="11" t="inlineStr">
        <x:is>
          <x:t xml:space="preserve">Internal Services</x:t>
        </x:is>
      </x:c>
      <x:c r="F106" s="10" t="inlineStr">
        <x:is>
          <x:t xml:space="preserve">Phone</x:t>
        </x:is>
      </x:c>
      <x:c r="G106" s="11" t="inlineStr">
        <x:is>
          <x:t xml:space="preserve">Login &amp; Access</x:t>
        </x:is>
      </x:c>
      <x:c r="H106" s="11" t="inlineStr">
        <x:is>
          <x:t xml:space="preserve">SSO failure</x:t>
        </x:is>
      </x:c>
      <x:c r="I106" s="10" t="inlineStr">
        <x:is>
          <x:t xml:space="preserve">High</x:t>
        </x:is>
      </x:c>
      <x:c r="J106" s="10" t="inlineStr">
        <x:is>
          <x:t xml:space="preserve">Resolved</x:t>
        </x:is>
      </x:c>
      <x:c r="K106" s="11" t="inlineStr">
        <x:is>
          <x:t xml:space="preserve">L1 Identity Support</x:t>
        </x:is>
      </x:c>
      <x:c r="L106" s="10" t="inlineStr">
        <x:is>
          <x:t xml:space="preserve">Agent B</x:t>
        </x:is>
      </x:c>
      <x:c r="M106" s="12" t="n">
        <x:v>13</x:v>
      </x:c>
      <x:c r="N106" s="45" t="n">
        <x:v>9.6</x:v>
      </x:c>
      <x:c r="O106" s="12">
        <x:f>XLOOKUP(I106,SLA_Rules!$A$4:$A$7,SLA_Rules!$B$4:$B$7,"")</x:f>
        <x:v>8</x:v>
      </x:c>
      <x:c r="P106" s="12" t="str">
        <x:f>IF(J106&lt;&gt;"Resolved","Pending",IF(N106&lt;=O106,"Yes","No"))</x:f>
        <x:v>No</x:v>
      </x:c>
      <x:c r="Q106" s="10" t="inlineStr">
        <x:is>
          <x:t xml:space="preserve">Yes</x:t>
        </x:is>
      </x:c>
      <x:c r="R106" s="12" t="n">
        <x:v>3</x:v>
      </x:c>
      <x:c r="S106" s="11" t="inlineStr">
        <x:is>
          <x:t xml:space="preserve">Credential issue</x:t>
        </x:is>
      </x:c>
      <x:c r="T106" s="5" t="inlineStr">
        <x:is>
          <x:t xml:space="preserve">Validated identity, restored access path, and confirmed successful login.</x:t>
        </x:is>
      </x:c>
      <x:c r="U106" s="44" t="n">
        <x:v>46101.80555555555</x:v>
      </x:c>
    </x:row>
    <x:row r="107">
      <x:c r="A107" s="8" t="inlineStr">
        <x:is>
          <x:t xml:space="preserve">INC-202603-0106</x:t>
        </x:is>
      </x:c>
      <x:c r="B107" s="44" t="n">
        <x:v>46099.41458333333</x:v>
      </x:c>
      <x:c r="C107" s="10" t="inlineStr">
        <x:is>
          <x:t xml:space="preserve">APAC</x:t>
        </x:is>
      </x:c>
      <x:c r="D107" s="8" t="inlineStr">
        <x:is>
          <x:t xml:space="preserve">User 106</x:t>
        </x:is>
      </x:c>
      <x:c r="E107" s="11" t="inlineStr">
        <x:is>
          <x:t xml:space="preserve">Finance</x:t>
        </x:is>
      </x:c>
      <x:c r="F107" s="10" t="inlineStr">
        <x:is>
          <x:t xml:space="preserve">Web Ticket</x:t>
        </x:is>
      </x:c>
      <x:c r="G107" s="11" t="inlineStr">
        <x:is>
          <x:t xml:space="preserve">Network &amp; VPN</x:t>
        </x:is>
      </x:c>
      <x:c r="H107" s="11" t="inlineStr">
        <x:is>
          <x:t xml:space="preserve">DNS error</x:t>
        </x:is>
      </x:c>
      <x:c r="I107" s="10" t="inlineStr">
        <x:is>
          <x:t xml:space="preserve">High</x:t>
        </x:is>
      </x:c>
      <x:c r="J107" s="10" t="inlineStr">
        <x:is>
          <x:t xml:space="preserve">In Progress</x:t>
        </x:is>
      </x:c>
      <x:c r="K107" s="11" t="inlineStr">
        <x:is>
          <x:t xml:space="preserve">L1 Global Service Desk</x:t>
        </x:is>
      </x:c>
      <x:c r="L107" s="10" t="inlineStr">
        <x:is>
          <x:t xml:space="preserve">Agent E</x:t>
        </x:is>
      </x:c>
      <x:c r="M107" s="12" t="n">
        <x:v>28</x:v>
      </x:c>
      <x:c r="N107" s="12" t="n"/>
      <x:c r="O107" s="12">
        <x:f>XLOOKUP(I107,SLA_Rules!$A$4:$A$7,SLA_Rules!$B$4:$B$7,"")</x:f>
        <x:v>8</x:v>
      </x:c>
      <x:c r="P107" s="12" t="str">
        <x:f>IF(J107&lt;&gt;"Resolved","Pending",IF(N107&lt;=O107,"Yes","No"))</x:f>
        <x:v>Pending</x:v>
      </x:c>
      <x:c r="Q107" s="10" t="inlineStr">
        <x:is>
          <x:t xml:space="preserve">No</x:t>
        </x:is>
      </x:c>
      <x:c r="R107" s="12" t="n"/>
      <x:c r="S107" s="11" t="inlineStr">
        <x:is>
          <x:t xml:space="preserve">Configuration drift</x:t>
        </x:is>
      </x:c>
      <x:c r="T107" s="5" t="inlineStr">
        <x:is>
          <x:t xml:space="preserve">Checked connectivity path, reconfigured VPN settings, and confirmed stable access.</x:t>
        </x:is>
      </x:c>
      <x:c r="U107" s="8" t="n"/>
    </x:row>
    <x:row r="108">
      <x:c r="A108" s="8" t="inlineStr">
        <x:is>
          <x:t xml:space="preserve">INC-202603-0107</x:t>
        </x:is>
      </x:c>
      <x:c r="B108" s="44" t="n">
        <x:v>46099.76597222222</x:v>
      </x:c>
      <x:c r="C108" s="10" t="inlineStr">
        <x:is>
          <x:t xml:space="preserve">India</x:t>
        </x:is>
      </x:c>
      <x:c r="D108" s="8" t="inlineStr">
        <x:is>
          <x:t xml:space="preserve">User 107</x:t>
        </x:is>
      </x:c>
      <x:c r="E108" s="11" t="inlineStr">
        <x:is>
          <x:t xml:space="preserve">Operations</x:t>
        </x:is>
      </x:c>
      <x:c r="F108" s="10" t="inlineStr">
        <x:is>
          <x:t xml:space="preserve">Phone</x:t>
        </x:is>
      </x:c>
      <x:c r="G108" s="11" t="inlineStr">
        <x:is>
          <x:t xml:space="preserve">Hardware</x:t>
        </x:is>
      </x:c>
      <x:c r="H108" s="11" t="inlineStr">
        <x:is>
          <x:t xml:space="preserve">Blue screen</x:t>
        </x:is>
      </x:c>
      <x:c r="I108" s="10" t="inlineStr">
        <x:is>
          <x:t xml:space="preserve">Low</x:t>
        </x:is>
      </x:c>
      <x:c r="J108" s="10" t="inlineStr">
        <x:is>
          <x:t xml:space="preserve">Resolved</x:t>
        </x:is>
      </x:c>
      <x:c r="K108" s="11" t="inlineStr">
        <x:is>
          <x:t xml:space="preserve">L1 Global Service Desk</x:t>
        </x:is>
      </x:c>
      <x:c r="L108" s="10" t="inlineStr">
        <x:is>
          <x:t xml:space="preserve">Agent C</x:t>
        </x:is>
      </x:c>
      <x:c r="M108" s="12" t="n">
        <x:v>57</x:v>
      </x:c>
      <x:c r="N108" s="45" t="n">
        <x:v>22.5</x:v>
      </x:c>
      <x:c r="O108" s="12">
        <x:f>XLOOKUP(I108,SLA_Rules!$A$4:$A$7,SLA_Rules!$B$4:$B$7,"")</x:f>
        <x:v>24</x:v>
      </x:c>
      <x:c r="P108" s="12" t="str">
        <x:f>IF(J108&lt;&gt;"Resolved","Pending",IF(N108&lt;=O108,"Yes","No"))</x:f>
        <x:v>Yes</x:v>
      </x:c>
      <x:c r="Q108" s="10" t="inlineStr">
        <x:is>
          <x:t xml:space="preserve">No</x:t>
        </x:is>
      </x:c>
      <x:c r="R108" s="12" t="n">
        <x:v>5</x:v>
      </x:c>
      <x:c r="S108" s="11" t="inlineStr">
        <x:is>
          <x:t xml:space="preserve">Credential issue</x:t>
        </x:is>
      </x:c>
      <x:c r="T108" s="5" t="inlineStr">
        <x:is>
          <x:t xml:space="preserve">Ran endpoint checks and provided workaround or hardware escalation as needed.</x:t>
        </x:is>
      </x:c>
      <x:c r="U108" s="44" t="n">
        <x:v>46100.70347222222</x:v>
      </x:c>
    </x:row>
    <x:row r="109">
      <x:c r="A109" s="8" t="inlineStr">
        <x:is>
          <x:t xml:space="preserve">INC-202603-0108</x:t>
        </x:is>
      </x:c>
      <x:c r="B109" s="44" t="n">
        <x:v>46102.10277777778</x:v>
      </x:c>
      <x:c r="C109" s="10" t="inlineStr">
        <x:is>
          <x:t xml:space="preserve">UK</x:t>
        </x:is>
      </x:c>
      <x:c r="D109" s="8" t="inlineStr">
        <x:is>
          <x:t xml:space="preserve">User 108</x:t>
        </x:is>
      </x:c>
      <x:c r="E109" s="11" t="inlineStr">
        <x:is>
          <x:t xml:space="preserve">Tax</x:t>
        </x:is>
      </x:c>
      <x:c r="F109" s="10" t="inlineStr">
        <x:is>
          <x:t xml:space="preserve">Chat</x:t>
        </x:is>
      </x:c>
      <x:c r="G109" s="11" t="inlineStr">
        <x:is>
          <x:t xml:space="preserve">Login &amp; Access</x:t>
        </x:is>
      </x:c>
      <x:c r="H109" s="11" t="inlineStr">
        <x:is>
          <x:t xml:space="preserve">Access denied</x:t>
        </x:is>
      </x:c>
      <x:c r="I109" s="10" t="inlineStr">
        <x:is>
          <x:t xml:space="preserve">High</x:t>
        </x:is>
      </x:c>
      <x:c r="J109" s="10" t="inlineStr">
        <x:is>
          <x:t xml:space="preserve">Resolved</x:t>
        </x:is>
      </x:c>
      <x:c r="K109" s="11" t="inlineStr">
        <x:is>
          <x:t xml:space="preserve">L1 Global Service Desk</x:t>
        </x:is>
      </x:c>
      <x:c r="L109" s="10" t="inlineStr">
        <x:is>
          <x:t xml:space="preserve">Agent C</x:t>
        </x:is>
      </x:c>
      <x:c r="M109" s="12" t="n">
        <x:v>14</x:v>
      </x:c>
      <x:c r="N109" s="45" t="n">
        <x:v>4.5</x:v>
      </x:c>
      <x:c r="O109" s="12">
        <x:f>XLOOKUP(I109,SLA_Rules!$A$4:$A$7,SLA_Rules!$B$4:$B$7,"")</x:f>
        <x:v>8</x:v>
      </x:c>
      <x:c r="P109" s="12" t="str">
        <x:f>IF(J109&lt;&gt;"Resolved","Pending",IF(N109&lt;=O109,"Yes","No"))</x:f>
        <x:v>Yes</x:v>
      </x:c>
      <x:c r="Q109" s="10" t="inlineStr">
        <x:is>
          <x:t xml:space="preserve">No</x:t>
        </x:is>
      </x:c>
      <x:c r="R109" s="12" t="n">
        <x:v>5</x:v>
      </x:c>
      <x:c r="S109" s="11" t="inlineStr">
        <x:is>
          <x:t xml:space="preserve">Policy enforcement</x:t>
        </x:is>
      </x:c>
      <x:c r="T109" s="5" t="inlineStr">
        <x:is>
          <x:t xml:space="preserve">Validated identity, restored access path, and confirmed successful login.</x:t>
        </x:is>
      </x:c>
      <x:c r="U109" s="44" t="n">
        <x:v>46102.29027777778</x:v>
      </x:c>
    </x:row>
    <x:row r="110">
      <x:c r="A110" s="8" t="inlineStr">
        <x:is>
          <x:t xml:space="preserve">INC-202603-0109</x:t>
        </x:is>
      </x:c>
      <x:c r="B110" s="44" t="n">
        <x:v>46087.45763888889</x:v>
      </x:c>
      <x:c r="C110" s="10" t="inlineStr">
        <x:is>
          <x:t xml:space="preserve">APAC</x:t>
        </x:is>
      </x:c>
      <x:c r="D110" s="8" t="inlineStr">
        <x:is>
          <x:t xml:space="preserve">User 109</x:t>
        </x:is>
      </x:c>
      <x:c r="E110" s="11" t="inlineStr">
        <x:is>
          <x:t xml:space="preserve">Consulting</x:t>
        </x:is>
      </x:c>
      <x:c r="F110" s="10" t="inlineStr">
        <x:is>
          <x:t xml:space="preserve">Chat</x:t>
        </x:is>
      </x:c>
      <x:c r="G110" s="11" t="inlineStr">
        <x:is>
          <x:t xml:space="preserve">Login &amp; Access</x:t>
        </x:is>
      </x:c>
      <x:c r="H110" s="11" t="inlineStr">
        <x:is>
          <x:t xml:space="preserve">SSO failure</x:t>
        </x:is>
      </x:c>
      <x:c r="I110" s="10" t="inlineStr">
        <x:is>
          <x:t xml:space="preserve">High</x:t>
        </x:is>
      </x:c>
      <x:c r="J110" s="10" t="inlineStr">
        <x:is>
          <x:t xml:space="preserve">Resolved</x:t>
        </x:is>
      </x:c>
      <x:c r="K110" s="11" t="inlineStr">
        <x:is>
          <x:t xml:space="preserve">L1 Identity Support</x:t>
        </x:is>
      </x:c>
      <x:c r="L110" s="10" t="inlineStr">
        <x:is>
          <x:t xml:space="preserve">Agent B</x:t>
        </x:is>
      </x:c>
      <x:c r="M110" s="12" t="n">
        <x:v>39</x:v>
      </x:c>
      <x:c r="N110" s="45" t="n">
        <x:v>3.4</x:v>
      </x:c>
      <x:c r="O110" s="12">
        <x:f>XLOOKUP(I110,SLA_Rules!$A$4:$A$7,SLA_Rules!$B$4:$B$7,"")</x:f>
        <x:v>8</x:v>
      </x:c>
      <x:c r="P110" s="12" t="str">
        <x:f>IF(J110&lt;&gt;"Resolved","Pending",IF(N110&lt;=O110,"Yes","No"))</x:f>
        <x:v>Yes</x:v>
      </x:c>
      <x:c r="Q110" s="10" t="inlineStr">
        <x:is>
          <x:t xml:space="preserve">No</x:t>
        </x:is>
      </x:c>
      <x:c r="R110" s="12" t="n">
        <x:v>5</x:v>
      </x:c>
      <x:c r="S110" s="11" t="inlineStr">
        <x:is>
          <x:t xml:space="preserve">Expired password</x:t>
        </x:is>
      </x:c>
      <x:c r="T110" s="5" t="inlineStr">
        <x:is>
          <x:t xml:space="preserve">Validated identity, restored access path, and confirmed successful login.</x:t>
        </x:is>
      </x:c>
      <x:c r="U110" s="44" t="n">
        <x:v>46087.59930555556</x:v>
      </x:c>
    </x:row>
    <x:row r="111">
      <x:c r="A111" s="8" t="inlineStr">
        <x:is>
          <x:t xml:space="preserve">INC-202603-0110</x:t>
        </x:is>
      </x:c>
      <x:c r="B111" s="44" t="n">
        <x:v>46103.82361111111</x:v>
      </x:c>
      <x:c r="C111" s="10" t="inlineStr">
        <x:is>
          <x:t xml:space="preserve">India</x:t>
        </x:is>
      </x:c>
      <x:c r="D111" s="8" t="inlineStr">
        <x:is>
          <x:t xml:space="preserve">User 110</x:t>
        </x:is>
      </x:c>
      <x:c r="E111" s="11" t="inlineStr">
        <x:is>
          <x:t xml:space="preserve">Consulting</x:t>
        </x:is>
      </x:c>
      <x:c r="F111" s="10" t="inlineStr">
        <x:is>
          <x:t xml:space="preserve">Email</x:t>
        </x:is>
      </x:c>
      <x:c r="G111" s="11" t="inlineStr">
        <x:is>
          <x:t xml:space="preserve">Login &amp; Access</x:t>
        </x:is>
      </x:c>
      <x:c r="H111" s="11" t="inlineStr">
        <x:is>
          <x:t xml:space="preserve">Shared drive permission</x:t>
        </x:is>
      </x:c>
      <x:c r="I111" s="10" t="inlineStr">
        <x:is>
          <x:t xml:space="preserve">Medium</x:t>
        </x:is>
      </x:c>
      <x:c r="J111" s="10" t="inlineStr">
        <x:is>
          <x:t xml:space="preserve">Resolved</x:t>
        </x:is>
      </x:c>
      <x:c r="K111" s="11" t="inlineStr">
        <x:is>
          <x:t xml:space="preserve">L1 Global Service Desk</x:t>
        </x:is>
      </x:c>
      <x:c r="L111" s="10" t="inlineStr">
        <x:is>
          <x:t xml:space="preserve">Agent B</x:t>
        </x:is>
      </x:c>
      <x:c r="M111" s="12" t="n">
        <x:v>17</x:v>
      </x:c>
      <x:c r="N111" s="45" t="n">
        <x:v>19.2</x:v>
      </x:c>
      <x:c r="O111" s="12">
        <x:f>XLOOKUP(I111,SLA_Rules!$A$4:$A$7,SLA_Rules!$B$4:$B$7,"")</x:f>
        <x:v>16</x:v>
      </x:c>
      <x:c r="P111" s="12" t="str">
        <x:f>IF(J111&lt;&gt;"Resolved","Pending",IF(N111&lt;=O111,"Yes","No"))</x:f>
        <x:v>No</x:v>
      </x:c>
      <x:c r="Q111" s="10" t="inlineStr">
        <x:is>
          <x:t xml:space="preserve">Yes</x:t>
        </x:is>
      </x:c>
      <x:c r="R111" s="12" t="n">
        <x:v>5</x:v>
      </x:c>
      <x:c r="S111" s="11" t="inlineStr">
        <x:is>
          <x:t xml:space="preserve">User error</x:t>
        </x:is>
      </x:c>
      <x:c r="T111" s="5" t="inlineStr">
        <x:is>
          <x:t xml:space="preserve">Validated identity, restored access path, and confirmed successful login.</x:t>
        </x:is>
      </x:c>
      <x:c r="U111" s="44" t="n">
        <x:v>46104.62361111111</x:v>
      </x:c>
    </x:row>
    <x:row r="112">
      <x:c r="A112" s="8" t="inlineStr">
        <x:is>
          <x:t xml:space="preserve">INC-202603-0111</x:t>
        </x:is>
      </x:c>
      <x:c r="B112" s="44" t="n">
        <x:v>46099.40347222222</x:v>
      </x:c>
      <x:c r="C112" s="10" t="inlineStr">
        <x:is>
          <x:t xml:space="preserve">UK</x:t>
        </x:is>
      </x:c>
      <x:c r="D112" s="8" t="inlineStr">
        <x:is>
          <x:t xml:space="preserve">User 111</x:t>
        </x:is>
      </x:c>
      <x:c r="E112" s="11" t="inlineStr">
        <x:is>
          <x:t xml:space="preserve">Audit</x:t>
        </x:is>
      </x:c>
      <x:c r="F112" s="10" t="inlineStr">
        <x:is>
          <x:t xml:space="preserve">Email</x:t>
        </x:is>
      </x:c>
      <x:c r="G112" s="11" t="inlineStr">
        <x:is>
          <x:t xml:space="preserve">Login &amp; Access</x:t>
        </x:is>
      </x:c>
      <x:c r="H112" s="11" t="inlineStr">
        <x:is>
          <x:t xml:space="preserve">Shared drive permission</x:t>
        </x:is>
      </x:c>
      <x:c r="I112" s="10" t="inlineStr">
        <x:is>
          <x:t xml:space="preserve">Medium</x:t>
        </x:is>
      </x:c>
      <x:c r="J112" s="10" t="inlineStr">
        <x:is>
          <x:t xml:space="preserve">Resolved</x:t>
        </x:is>
      </x:c>
      <x:c r="K112" s="11" t="inlineStr">
        <x:is>
          <x:t xml:space="preserve">L1 Identity Support</x:t>
        </x:is>
      </x:c>
      <x:c r="L112" s="10" t="inlineStr">
        <x:is>
          <x:t xml:space="preserve">Agent F</x:t>
        </x:is>
      </x:c>
      <x:c r="M112" s="12" t="n">
        <x:v>63</x:v>
      </x:c>
      <x:c r="N112" s="45" t="n">
        <x:v>19.2</x:v>
      </x:c>
      <x:c r="O112" s="12">
        <x:f>XLOOKUP(I112,SLA_Rules!$A$4:$A$7,SLA_Rules!$B$4:$B$7,"")</x:f>
        <x:v>16</x:v>
      </x:c>
      <x:c r="P112" s="12" t="str">
        <x:f>IF(J112&lt;&gt;"Resolved","Pending",IF(N112&lt;=O112,"Yes","No"))</x:f>
        <x:v>No</x:v>
      </x:c>
      <x:c r="Q112" s="10" t="inlineStr">
        <x:is>
          <x:t xml:space="preserve">Yes</x:t>
        </x:is>
      </x:c>
      <x:c r="R112" s="12" t="n">
        <x:v>4</x:v>
      </x:c>
      <x:c r="S112" s="11" t="inlineStr">
        <x:is>
          <x:t xml:space="preserve">Credential issue</x:t>
        </x:is>
      </x:c>
      <x:c r="T112" s="5" t="inlineStr">
        <x:is>
          <x:t xml:space="preserve">Validated identity, restored access path, and confirmed successful login.</x:t>
        </x:is>
      </x:c>
      <x:c r="U112" s="44" t="n">
        <x:v>46100.20347222222</x:v>
      </x:c>
    </x:row>
    <x:row r="113">
      <x:c r="A113" s="8" t="inlineStr">
        <x:is>
          <x:t xml:space="preserve">INC-202603-0112</x:t>
        </x:is>
      </x:c>
      <x:c r="B113" s="44" t="n">
        <x:v>46104.44861111111</x:v>
      </x:c>
      <x:c r="C113" s="10" t="inlineStr">
        <x:is>
          <x:t xml:space="preserve">US</x:t>
        </x:is>
      </x:c>
      <x:c r="D113" s="8" t="inlineStr">
        <x:is>
          <x:t xml:space="preserve">User 112</x:t>
        </x:is>
      </x:c>
      <x:c r="E113" s="11" t="inlineStr">
        <x:is>
          <x:t xml:space="preserve">Consulting</x:t>
        </x:is>
      </x:c>
      <x:c r="F113" s="10" t="inlineStr">
        <x:is>
          <x:t xml:space="preserve">Phone</x:t>
        </x:is>
      </x:c>
      <x:c r="G113" s="11" t="inlineStr">
        <x:is>
          <x:t xml:space="preserve">Software &amp; Application</x:t>
        </x:is>
      </x:c>
      <x:c r="H113" s="11" t="inlineStr">
        <x:is>
          <x:t xml:space="preserve">Install failed</x:t>
        </x:is>
      </x:c>
      <x:c r="I113" s="10" t="inlineStr">
        <x:is>
          <x:t xml:space="preserve">Medium</x:t>
        </x:is>
      </x:c>
      <x:c r="J113" s="10" t="inlineStr">
        <x:is>
          <x:t xml:space="preserve">Resolved</x:t>
        </x:is>
      </x:c>
      <x:c r="K113" s="11" t="inlineStr">
        <x:is>
          <x:t xml:space="preserve">L1 Messaging Support</x:t>
        </x:is>
      </x:c>
      <x:c r="L113" s="10" t="inlineStr">
        <x:is>
          <x:t xml:space="preserve">Agent G</x:t>
        </x:is>
      </x:c>
      <x:c r="M113" s="12" t="n">
        <x:v>63</x:v>
      </x:c>
      <x:c r="N113" s="45" t="n">
        <x:v>19.2</x:v>
      </x:c>
      <x:c r="O113" s="12">
        <x:f>XLOOKUP(I113,SLA_Rules!$A$4:$A$7,SLA_Rules!$B$4:$B$7,"")</x:f>
        <x:v>16</x:v>
      </x:c>
      <x:c r="P113" s="12" t="str">
        <x:f>IF(J113&lt;&gt;"Resolved","Pending",IF(N113&lt;=O113,"Yes","No"))</x:f>
        <x:v>No</x:v>
      </x:c>
      <x:c r="Q113" s="10" t="inlineStr">
        <x:is>
          <x:t xml:space="preserve">Yes</x:t>
        </x:is>
      </x:c>
      <x:c r="R113" s="12" t="n">
        <x:v>3</x:v>
      </x:c>
      <x:c r="S113" s="11" t="inlineStr">
        <x:is>
          <x:t xml:space="preserve">Application cache</x:t>
        </x:is>
      </x:c>
      <x:c r="T113" s="5" t="inlineStr">
        <x:is>
          <x:t xml:space="preserve">Validated installation/configuration and completed application repair steps.</x:t>
        </x:is>
      </x:c>
      <x:c r="U113" s="44" t="n">
        <x:v>46105.24861111111</x:v>
      </x:c>
    </x:row>
    <x:row r="114">
      <x:c r="A114" s="8" t="inlineStr">
        <x:is>
          <x:t xml:space="preserve">INC-202603-0113</x:t>
        </x:is>
      </x:c>
      <x:c r="B114" s="44" t="n">
        <x:v>46091.53819444445</x:v>
      </x:c>
      <x:c r="C114" s="10" t="inlineStr">
        <x:is>
          <x:t xml:space="preserve">India</x:t>
        </x:is>
      </x:c>
      <x:c r="D114" s="8" t="inlineStr">
        <x:is>
          <x:t xml:space="preserve">User 113</x:t>
        </x:is>
      </x:c>
      <x:c r="E114" s="11" t="inlineStr">
        <x:is>
          <x:t xml:space="preserve">Consulting</x:t>
        </x:is>
      </x:c>
      <x:c r="F114" s="10" t="inlineStr">
        <x:is>
          <x:t xml:space="preserve">Email</x:t>
        </x:is>
      </x:c>
      <x:c r="G114" s="11" t="inlineStr">
        <x:is>
          <x:t xml:space="preserve">Network &amp; VPN</x:t>
        </x:is>
      </x:c>
      <x:c r="H114" s="11" t="inlineStr">
        <x:is>
          <x:t xml:space="preserve">VPN not connecting</x:t>
        </x:is>
      </x:c>
      <x:c r="I114" s="10" t="inlineStr">
        <x:is>
          <x:t xml:space="preserve">Critical</x:t>
        </x:is>
      </x:c>
      <x:c r="J114" s="10" t="inlineStr">
        <x:is>
          <x:t xml:space="preserve">Resolved</x:t>
        </x:is>
      </x:c>
      <x:c r="K114" s="11" t="inlineStr">
        <x:is>
          <x:t xml:space="preserve">L1 Global Service Desk</x:t>
        </x:is>
      </x:c>
      <x:c r="L114" s="10" t="inlineStr">
        <x:is>
          <x:t xml:space="preserve">Agent A</x:t>
        </x:is>
      </x:c>
      <x:c r="M114" s="12" t="n">
        <x:v>8</x:v>
      </x:c>
      <x:c r="N114" s="45" t="n">
        <x:v>1.4</x:v>
      </x:c>
      <x:c r="O114" s="12">
        <x:f>XLOOKUP(I114,SLA_Rules!$A$4:$A$7,SLA_Rules!$B$4:$B$7,"")</x:f>
        <x:v>4</x:v>
      </x:c>
      <x:c r="P114" s="12" t="str">
        <x:f>IF(J114&lt;&gt;"Resolved","Pending",IF(N114&lt;=O114,"Yes","No"))</x:f>
        <x:v>Yes</x:v>
      </x:c>
      <x:c r="Q114" s="10" t="inlineStr">
        <x:is>
          <x:t xml:space="preserve">No</x:t>
        </x:is>
      </x:c>
      <x:c r="R114" s="12" t="n">
        <x:v>5</x:v>
      </x:c>
      <x:c r="S114" s="11" t="inlineStr">
        <x:is>
          <x:t xml:space="preserve">Application cache</x:t>
        </x:is>
      </x:c>
      <x:c r="T114" s="5" t="inlineStr">
        <x:is>
          <x:t xml:space="preserve">Checked connectivity path, reconfigured VPN settings, and confirmed stable access.</x:t>
        </x:is>
      </x:c>
      <x:c r="U114" s="44" t="n">
        <x:v>46091.59652777778</x:v>
      </x:c>
    </x:row>
    <x:row r="115">
      <x:c r="A115" s="8" t="inlineStr">
        <x:is>
          <x:t xml:space="preserve">INC-202603-0114</x:t>
        </x:is>
      </x:c>
      <x:c r="B115" s="44" t="n">
        <x:v>46112.52222222222</x:v>
      </x:c>
      <x:c r="C115" s="10" t="inlineStr">
        <x:is>
          <x:t xml:space="preserve">US</x:t>
        </x:is>
      </x:c>
      <x:c r="D115" s="8" t="inlineStr">
        <x:is>
          <x:t xml:space="preserve">User 114</x:t>
        </x:is>
      </x:c>
      <x:c r="E115" s="11" t="inlineStr">
        <x:is>
          <x:t xml:space="preserve">Operations</x:t>
        </x:is>
      </x:c>
      <x:c r="F115" s="10" t="inlineStr">
        <x:is>
          <x:t xml:space="preserve">Web Ticket</x:t>
        </x:is>
      </x:c>
      <x:c r="G115" s="11" t="inlineStr">
        <x:is>
          <x:t xml:space="preserve">Login &amp; Access</x:t>
        </x:is>
      </x:c>
      <x:c r="H115" s="11" t="inlineStr">
        <x:is>
          <x:t xml:space="preserve">SSO failure</x:t>
        </x:is>
      </x:c>
      <x:c r="I115" s="10" t="inlineStr">
        <x:is>
          <x:t xml:space="preserve">High</x:t>
        </x:is>
      </x:c>
      <x:c r="J115" s="10" t="inlineStr">
        <x:is>
          <x:t xml:space="preserve">Pending User</x:t>
        </x:is>
      </x:c>
      <x:c r="K115" s="11" t="inlineStr">
        <x:is>
          <x:t xml:space="preserve">L1 Global Service Desk</x:t>
        </x:is>
      </x:c>
      <x:c r="L115" s="10" t="inlineStr">
        <x:is>
          <x:t xml:space="preserve">Agent A</x:t>
        </x:is>
      </x:c>
      <x:c r="M115" s="12" t="n">
        <x:v>38</x:v>
      </x:c>
      <x:c r="N115" s="12" t="n"/>
      <x:c r="O115" s="12">
        <x:f>XLOOKUP(I115,SLA_Rules!$A$4:$A$7,SLA_Rules!$B$4:$B$7,"")</x:f>
        <x:v>8</x:v>
      </x:c>
      <x:c r="P115" s="12" t="str">
        <x:f>IF(J115&lt;&gt;"Resolved","Pending",IF(N115&lt;=O115,"Yes","No"))</x:f>
        <x:v>Pending</x:v>
      </x:c>
      <x:c r="Q115" s="10" t="inlineStr">
        <x:is>
          <x:t xml:space="preserve">No</x:t>
        </x:is>
      </x:c>
      <x:c r="R115" s="12" t="n"/>
      <x:c r="S115" s="11" t="inlineStr">
        <x:is>
          <x:t xml:space="preserve">Application cache</x:t>
        </x:is>
      </x:c>
      <x:c r="T115" s="5" t="inlineStr">
        <x:is>
          <x:t xml:space="preserve">Validated identity, restored access path, and confirmed successful login.</x:t>
        </x:is>
      </x:c>
      <x:c r="U115" s="8" t="n"/>
    </x:row>
    <x:row r="116">
      <x:c r="A116" s="8" t="inlineStr">
        <x:is>
          <x:t xml:space="preserve">INC-202603-0115</x:t>
        </x:is>
      </x:c>
      <x:c r="B116" s="44" t="n">
        <x:v>46085.54722222222</x:v>
      </x:c>
      <x:c r="C116" s="10" t="inlineStr">
        <x:is>
          <x:t xml:space="preserve">APAC</x:t>
        </x:is>
      </x:c>
      <x:c r="D116" s="8" t="inlineStr">
        <x:is>
          <x:t xml:space="preserve">User 115</x:t>
        </x:is>
      </x:c>
      <x:c r="E116" s="11" t="inlineStr">
        <x:is>
          <x:t xml:space="preserve">Internal Services</x:t>
        </x:is>
      </x:c>
      <x:c r="F116" s="10" t="inlineStr">
        <x:is>
          <x:t xml:space="preserve">Chat</x:t>
        </x:is>
      </x:c>
      <x:c r="G116" s="11" t="inlineStr">
        <x:is>
          <x:t xml:space="preserve">Login &amp; Access</x:t>
        </x:is>
      </x:c>
      <x:c r="H116" s="11" t="inlineStr">
        <x:is>
          <x:t xml:space="preserve">MFA prompt loop</x:t>
        </x:is>
      </x:c>
      <x:c r="I116" s="10" t="inlineStr">
        <x:is>
          <x:t xml:space="preserve">High</x:t>
        </x:is>
      </x:c>
      <x:c r="J116" s="10" t="inlineStr">
        <x:is>
          <x:t xml:space="preserve">Resolved</x:t>
        </x:is>
      </x:c>
      <x:c r="K116" s="11" t="inlineStr">
        <x:is>
          <x:t xml:space="preserve">L1 Global Service Desk</x:t>
        </x:is>
      </x:c>
      <x:c r="L116" s="10" t="inlineStr">
        <x:is>
          <x:t xml:space="preserve">Agent G</x:t>
        </x:is>
      </x:c>
      <x:c r="M116" s="12" t="n">
        <x:v>31</x:v>
      </x:c>
      <x:c r="N116" s="45" t="n">
        <x:v>10.8</x:v>
      </x:c>
      <x:c r="O116" s="12">
        <x:f>XLOOKUP(I116,SLA_Rules!$A$4:$A$7,SLA_Rules!$B$4:$B$7,"")</x:f>
        <x:v>8</x:v>
      </x:c>
      <x:c r="P116" s="12" t="str">
        <x:f>IF(J116&lt;&gt;"Resolved","Pending",IF(N116&lt;=O116,"Yes","No"))</x:f>
        <x:v>No</x:v>
      </x:c>
      <x:c r="Q116" s="10" t="inlineStr">
        <x:is>
          <x:t xml:space="preserve">Yes</x:t>
        </x:is>
      </x:c>
      <x:c r="R116" s="12" t="n">
        <x:v>4</x:v>
      </x:c>
      <x:c r="S116" s="11" t="inlineStr">
        <x:is>
          <x:t xml:space="preserve">Pending update</x:t>
        </x:is>
      </x:c>
      <x:c r="T116" s="5" t="inlineStr">
        <x:is>
          <x:t xml:space="preserve">Validated identity, restored access path, and confirmed successful login.</x:t>
        </x:is>
      </x:c>
      <x:c r="U116" s="44" t="n">
        <x:v>46085.99722222222</x:v>
      </x:c>
    </x:row>
    <x:row r="117">
      <x:c r="A117" s="8" t="inlineStr">
        <x:is>
          <x:t xml:space="preserve">INC-202603-0116</x:t>
        </x:is>
      </x:c>
      <x:c r="B117" s="44" t="n">
        <x:v>46101.90208333333</x:v>
      </x:c>
      <x:c r="C117" s="10" t="inlineStr">
        <x:is>
          <x:t xml:space="preserve">India</x:t>
        </x:is>
      </x:c>
      <x:c r="D117" s="8" t="inlineStr">
        <x:is>
          <x:t xml:space="preserve">User 116</x:t>
        </x:is>
      </x:c>
      <x:c r="E117" s="11" t="inlineStr">
        <x:is>
          <x:t xml:space="preserve">Operations</x:t>
        </x:is>
      </x:c>
      <x:c r="F117" s="10" t="inlineStr">
        <x:is>
          <x:t xml:space="preserve">Email</x:t>
        </x:is>
      </x:c>
      <x:c r="G117" s="11" t="inlineStr">
        <x:is>
          <x:t xml:space="preserve">Login &amp; Access</x:t>
        </x:is>
      </x:c>
      <x:c r="H117" s="11" t="inlineStr">
        <x:is>
          <x:t xml:space="preserve">Shared drive permission</x:t>
        </x:is>
      </x:c>
      <x:c r="I117" s="10" t="inlineStr">
        <x:is>
          <x:t xml:space="preserve">High</x:t>
        </x:is>
      </x:c>
      <x:c r="J117" s="10" t="inlineStr">
        <x:is>
          <x:t xml:space="preserve">Resolved</x:t>
        </x:is>
      </x:c>
      <x:c r="K117" s="11" t="inlineStr">
        <x:is>
          <x:t xml:space="preserve">L1 Identity Support</x:t>
        </x:is>
      </x:c>
      <x:c r="L117" s="10" t="inlineStr">
        <x:is>
          <x:t xml:space="preserve">Agent G</x:t>
        </x:is>
      </x:c>
      <x:c r="M117" s="12" t="n">
        <x:v>31</x:v>
      </x:c>
      <x:c r="N117" s="45" t="n">
        <x:v>7.4</x:v>
      </x:c>
      <x:c r="O117" s="12">
        <x:f>XLOOKUP(I117,SLA_Rules!$A$4:$A$7,SLA_Rules!$B$4:$B$7,"")</x:f>
        <x:v>8</x:v>
      </x:c>
      <x:c r="P117" s="12" t="str">
        <x:f>IF(J117&lt;&gt;"Resolved","Pending",IF(N117&lt;=O117,"Yes","No"))</x:f>
        <x:v>Yes</x:v>
      </x:c>
      <x:c r="Q117" s="10" t="inlineStr">
        <x:is>
          <x:t xml:space="preserve">No</x:t>
        </x:is>
      </x:c>
      <x:c r="R117" s="12" t="n">
        <x:v>4</x:v>
      </x:c>
      <x:c r="S117" s="11" t="inlineStr">
        <x:is>
          <x:t xml:space="preserve">Driver problem</x:t>
        </x:is>
      </x:c>
      <x:c r="T117" s="5" t="inlineStr">
        <x:is>
          <x:t xml:space="preserve">Validated identity, restored access path, and confirmed successful login.</x:t>
        </x:is>
      </x:c>
      <x:c r="U117" s="44" t="n">
        <x:v>46102.21041666667</x:v>
      </x:c>
    </x:row>
    <x:row r="118">
      <x:c r="A118" s="8" t="inlineStr">
        <x:is>
          <x:t xml:space="preserve">INC-202603-0117</x:t>
        </x:is>
      </x:c>
      <x:c r="B118" s="44" t="n">
        <x:v>46092.64791666667</x:v>
      </x:c>
      <x:c r="C118" s="10" t="inlineStr">
        <x:is>
          <x:t xml:space="preserve">US</x:t>
        </x:is>
      </x:c>
      <x:c r="D118" s="8" t="inlineStr">
        <x:is>
          <x:t xml:space="preserve">User 117</x:t>
        </x:is>
      </x:c>
      <x:c r="E118" s="11" t="inlineStr">
        <x:is>
          <x:t xml:space="preserve">Audit</x:t>
        </x:is>
      </x:c>
      <x:c r="F118" s="10" t="inlineStr">
        <x:is>
          <x:t xml:space="preserve">Phone</x:t>
        </x:is>
      </x:c>
      <x:c r="G118" s="11" t="inlineStr">
        <x:is>
          <x:t xml:space="preserve">Password Reset</x:t>
        </x:is>
      </x:c>
      <x:c r="H118" s="11" t="inlineStr">
        <x:is>
          <x:t xml:space="preserve">Reset link failed</x:t>
        </x:is>
      </x:c>
      <x:c r="I118" s="10" t="inlineStr">
        <x:is>
          <x:t xml:space="preserve">Low</x:t>
        </x:is>
      </x:c>
      <x:c r="J118" s="10" t="inlineStr">
        <x:is>
          <x:t xml:space="preserve">Resolved</x:t>
        </x:is>
      </x:c>
      <x:c r="K118" s="11" t="inlineStr">
        <x:is>
          <x:t xml:space="preserve">L1 Global Service Desk</x:t>
        </x:is>
      </x:c>
      <x:c r="L118" s="10" t="inlineStr">
        <x:is>
          <x:t xml:space="preserve">Agent F</x:t>
        </x:is>
      </x:c>
      <x:c r="M118" s="12" t="n">
        <x:v>155</x:v>
      </x:c>
      <x:c r="N118" s="45" t="n">
        <x:v>15.2</x:v>
      </x:c>
      <x:c r="O118" s="12">
        <x:f>XLOOKUP(I118,SLA_Rules!$A$4:$A$7,SLA_Rules!$B$4:$B$7,"")</x:f>
        <x:v>24</x:v>
      </x:c>
      <x:c r="P118" s="12" t="str">
        <x:f>IF(J118&lt;&gt;"Resolved","Pending",IF(N118&lt;=O118,"Yes","No"))</x:f>
        <x:v>Yes</x:v>
      </x:c>
      <x:c r="Q118" s="10" t="inlineStr">
        <x:is>
          <x:t xml:space="preserve">No</x:t>
        </x:is>
      </x:c>
      <x:c r="R118" s="12" t="n">
        <x:v>4</x:v>
      </x:c>
      <x:c r="S118" s="11" t="inlineStr">
        <x:is>
          <x:t xml:space="preserve">Policy enforcement</x:t>
        </x:is>
      </x:c>
      <x:c r="T118" s="5" t="inlineStr">
        <x:is>
          <x:t xml:space="preserve">Completed identity validation and processed password reset successfully.</x:t>
        </x:is>
      </x:c>
      <x:c r="U118" s="44" t="n">
        <x:v>46093.28125</x:v>
      </x:c>
    </x:row>
    <x:row r="119">
      <x:c r="A119" s="8" t="inlineStr">
        <x:is>
          <x:t xml:space="preserve">INC-202603-0118</x:t>
        </x:is>
      </x:c>
      <x:c r="B119" s="44" t="n">
        <x:v>46097.01597222222</x:v>
      </x:c>
      <x:c r="C119" s="10" t="inlineStr">
        <x:is>
          <x:t xml:space="preserve">India</x:t>
        </x:is>
      </x:c>
      <x:c r="D119" s="8" t="inlineStr">
        <x:is>
          <x:t xml:space="preserve">User 118</x:t>
        </x:is>
      </x:c>
      <x:c r="E119" s="11" t="inlineStr">
        <x:is>
          <x:t xml:space="preserve">Operations</x:t>
        </x:is>
      </x:c>
      <x:c r="F119" s="10" t="inlineStr">
        <x:is>
          <x:t xml:space="preserve">Phone</x:t>
        </x:is>
      </x:c>
      <x:c r="G119" s="11" t="inlineStr">
        <x:is>
          <x:t xml:space="preserve">Email &amp; Outlook</x:t>
        </x:is>
      </x:c>
      <x:c r="H119" s="11" t="inlineStr">
        <x:is>
          <x:t xml:space="preserve">Calendar invite issue</x:t>
        </x:is>
      </x:c>
      <x:c r="I119" s="10" t="inlineStr">
        <x:is>
          <x:t xml:space="preserve">Low</x:t>
        </x:is>
      </x:c>
      <x:c r="J119" s="10" t="inlineStr">
        <x:is>
          <x:t xml:space="preserve">Resolved</x:t>
        </x:is>
      </x:c>
      <x:c r="K119" s="11" t="inlineStr">
        <x:is>
          <x:t xml:space="preserve">L1 Network Support</x:t>
        </x:is>
      </x:c>
      <x:c r="L119" s="10" t="inlineStr">
        <x:is>
          <x:t xml:space="preserve">Agent C</x:t>
        </x:is>
      </x:c>
      <x:c r="M119" s="12" t="n">
        <x:v>130</x:v>
      </x:c>
      <x:c r="N119" s="45" t="n">
        <x:v>5.7</x:v>
      </x:c>
      <x:c r="O119" s="12">
        <x:f>XLOOKUP(I119,SLA_Rules!$A$4:$A$7,SLA_Rules!$B$4:$B$7,"")</x:f>
        <x:v>24</x:v>
      </x:c>
      <x:c r="P119" s="12" t="str">
        <x:f>IF(J119&lt;&gt;"Resolved","Pending",IF(N119&lt;=O119,"Yes","No"))</x:f>
        <x:v>Yes</x:v>
      </x:c>
      <x:c r="Q119" s="10" t="inlineStr">
        <x:is>
          <x:t xml:space="preserve">No</x:t>
        </x:is>
      </x:c>
      <x:c r="R119" s="12" t="n">
        <x:v>5</x:v>
      </x:c>
      <x:c r="S119" s="11" t="inlineStr">
        <x:is>
          <x:t xml:space="preserve">User error</x:t>
        </x:is>
      </x:c>
      <x:c r="T119" s="5" t="inlineStr">
        <x:is>
          <x:t xml:space="preserve">Cleared profile/cache and validated mailbox connectivity with user.</x:t>
        </x:is>
      </x:c>
      <x:c r="U119" s="44" t="n">
        <x:v>46097.25347222222</x:v>
      </x:c>
    </x:row>
    <x:row r="120">
      <x:c r="A120" s="8" t="inlineStr">
        <x:is>
          <x:t xml:space="preserve">INC-202603-0119</x:t>
        </x:is>
      </x:c>
      <x:c r="B120" s="44" t="n">
        <x:v>46105.82569444444</x:v>
      </x:c>
      <x:c r="C120" s="10" t="inlineStr">
        <x:is>
          <x:t xml:space="preserve">UK</x:t>
        </x:is>
      </x:c>
      <x:c r="D120" s="8" t="inlineStr">
        <x:is>
          <x:t xml:space="preserve">User 119</x:t>
        </x:is>
      </x:c>
      <x:c r="E120" s="11" t="inlineStr">
        <x:is>
          <x:t xml:space="preserve">Consulting</x:t>
        </x:is>
      </x:c>
      <x:c r="F120" s="10" t="inlineStr">
        <x:is>
          <x:t xml:space="preserve">Email</x:t>
        </x:is>
      </x:c>
      <x:c r="G120" s="11" t="inlineStr">
        <x:is>
          <x:t xml:space="preserve">Software &amp; Application</x:t>
        </x:is>
      </x:c>
      <x:c r="H120" s="11" t="inlineStr">
        <x:is>
          <x:t xml:space="preserve">License activation</x:t>
        </x:is>
      </x:c>
      <x:c r="I120" s="10" t="inlineStr">
        <x:is>
          <x:t xml:space="preserve">Low</x:t>
        </x:is>
      </x:c>
      <x:c r="J120" s="10" t="inlineStr">
        <x:is>
          <x:t xml:space="preserve">Resolved</x:t>
        </x:is>
      </x:c>
      <x:c r="K120" s="11" t="inlineStr">
        <x:is>
          <x:t xml:space="preserve">L1 Network Support</x:t>
        </x:is>
      </x:c>
      <x:c r="L120" s="10" t="inlineStr">
        <x:is>
          <x:t xml:space="preserve">Agent F</x:t>
        </x:is>
      </x:c>
      <x:c r="M120" s="12" t="n">
        <x:v>86</x:v>
      </x:c>
      <x:c r="N120" s="45" t="n">
        <x:v>28.8</x:v>
      </x:c>
      <x:c r="O120" s="12">
        <x:f>XLOOKUP(I120,SLA_Rules!$A$4:$A$7,SLA_Rules!$B$4:$B$7,"")</x:f>
        <x:v>24</x:v>
      </x:c>
      <x:c r="P120" s="12" t="str">
        <x:f>IF(J120&lt;&gt;"Resolved","Pending",IF(N120&lt;=O120,"Yes","No"))</x:f>
        <x:v>No</x:v>
      </x:c>
      <x:c r="Q120" s="10" t="inlineStr">
        <x:is>
          <x:t xml:space="preserve">Yes</x:t>
        </x:is>
      </x:c>
      <x:c r="R120" s="12" t="n">
        <x:v>3</x:v>
      </x:c>
      <x:c r="S120" s="11" t="inlineStr">
        <x:is>
          <x:t xml:space="preserve">Credential issue</x:t>
        </x:is>
      </x:c>
      <x:c r="T120" s="5" t="inlineStr">
        <x:is>
          <x:t xml:space="preserve">Validated installation/configuration and completed application repair steps.</x:t>
        </x:is>
      </x:c>
      <x:c r="U120" s="44" t="n">
        <x:v>46107.02569444444</x:v>
      </x:c>
    </x:row>
    <x:row r="121">
      <x:c r="A121" s="8" t="inlineStr">
        <x:is>
          <x:t xml:space="preserve">INC-202603-0120</x:t>
        </x:is>
      </x:c>
      <x:c r="B121" s="44" t="n">
        <x:v>46086.67569444444</x:v>
      </x:c>
      <x:c r="C121" s="10" t="inlineStr">
        <x:is>
          <x:t xml:space="preserve">US</x:t>
        </x:is>
      </x:c>
      <x:c r="D121" s="8" t="inlineStr">
        <x:is>
          <x:t xml:space="preserve">User 120</x:t>
        </x:is>
      </x:c>
      <x:c r="E121" s="11" t="inlineStr">
        <x:is>
          <x:t xml:space="preserve">Operations</x:t>
        </x:is>
      </x:c>
      <x:c r="F121" s="10" t="inlineStr">
        <x:is>
          <x:t xml:space="preserve">Phone</x:t>
        </x:is>
      </x:c>
      <x:c r="G121" s="11" t="inlineStr">
        <x:is>
          <x:t xml:space="preserve">Login &amp; Access</x:t>
        </x:is>
      </x:c>
      <x:c r="H121" s="11" t="inlineStr">
        <x:is>
          <x:t xml:space="preserve">Access denied</x:t>
        </x:is>
      </x:c>
      <x:c r="I121" s="10" t="inlineStr">
        <x:is>
          <x:t xml:space="preserve">Medium</x:t>
        </x:is>
      </x:c>
      <x:c r="J121" s="10" t="inlineStr">
        <x:is>
          <x:t xml:space="preserve">Resolved</x:t>
        </x:is>
      </x:c>
      <x:c r="K121" s="11" t="inlineStr">
        <x:is>
          <x:t xml:space="preserve">L1 Global Service Desk</x:t>
        </x:is>
      </x:c>
      <x:c r="L121" s="10" t="inlineStr">
        <x:is>
          <x:t xml:space="preserve">Agent F</x:t>
        </x:is>
      </x:c>
      <x:c r="M121" s="12" t="n">
        <x:v>73</x:v>
      </x:c>
      <x:c r="N121" s="45" t="n">
        <x:v>15.2</x:v>
      </x:c>
      <x:c r="O121" s="12">
        <x:f>XLOOKUP(I121,SLA_Rules!$A$4:$A$7,SLA_Rules!$B$4:$B$7,"")</x:f>
        <x:v>16</x:v>
      </x:c>
      <x:c r="P121" s="12" t="str">
        <x:f>IF(J121&lt;&gt;"Resolved","Pending",IF(N121&lt;=O121,"Yes","No"))</x:f>
        <x:v>Yes</x:v>
      </x:c>
      <x:c r="Q121" s="10" t="inlineStr">
        <x:is>
          <x:t xml:space="preserve">No</x:t>
        </x:is>
      </x:c>
      <x:c r="R121" s="12" t="n">
        <x:v>5</x:v>
      </x:c>
      <x:c r="S121" s="11" t="inlineStr">
        <x:is>
          <x:t xml:space="preserve">Application cache</x:t>
        </x:is>
      </x:c>
      <x:c r="T121" s="5" t="inlineStr">
        <x:is>
          <x:t xml:space="preserve">Validated identity, restored access path, and confirmed successful login.</x:t>
        </x:is>
      </x:c>
      <x:c r="U121" s="44" t="n">
        <x:v>46087.30902777778</x:v>
      </x:c>
    </x:row>
    <x:row r="122">
      <x:c r="A122" s="8" t="inlineStr">
        <x:is>
          <x:t xml:space="preserve">INC-202603-0121</x:t>
        </x:is>
      </x:c>
      <x:c r="B122" s="44" t="n">
        <x:v>46088.30347222222</x:v>
      </x:c>
      <x:c r="C122" s="10" t="inlineStr">
        <x:is>
          <x:t xml:space="preserve">UK</x:t>
        </x:is>
      </x:c>
      <x:c r="D122" s="8" t="inlineStr">
        <x:is>
          <x:t xml:space="preserve">User 121</x:t>
        </x:is>
      </x:c>
      <x:c r="E122" s="11" t="inlineStr">
        <x:is>
          <x:t xml:space="preserve">Internal Services</x:t>
        </x:is>
      </x:c>
      <x:c r="F122" s="10" t="inlineStr">
        <x:is>
          <x:t xml:space="preserve">Web Ticket</x:t>
        </x:is>
      </x:c>
      <x:c r="G122" s="11" t="inlineStr">
        <x:is>
          <x:t xml:space="preserve">Printer &amp; Peripheral</x:t>
        </x:is>
      </x:c>
      <x:c r="H122" s="11" t="inlineStr">
        <x:is>
          <x:t xml:space="preserve">Printer queue stuck</x:t>
        </x:is>
      </x:c>
      <x:c r="I122" s="10" t="inlineStr">
        <x:is>
          <x:t xml:space="preserve">Low</x:t>
        </x:is>
      </x:c>
      <x:c r="J122" s="10" t="inlineStr">
        <x:is>
          <x:t xml:space="preserve">Resolved</x:t>
        </x:is>
      </x:c>
      <x:c r="K122" s="11" t="inlineStr">
        <x:is>
          <x:t xml:space="preserve">L1 Network Support</x:t>
        </x:is>
      </x:c>
      <x:c r="L122" s="10" t="inlineStr">
        <x:is>
          <x:t xml:space="preserve">Agent D</x:t>
        </x:is>
      </x:c>
      <x:c r="M122" s="12" t="n">
        <x:v>100</x:v>
      </x:c>
      <x:c r="N122" s="45" t="n">
        <x:v>7.9</x:v>
      </x:c>
      <x:c r="O122" s="12">
        <x:f>XLOOKUP(I122,SLA_Rules!$A$4:$A$7,SLA_Rules!$B$4:$B$7,"")</x:f>
        <x:v>24</x:v>
      </x:c>
      <x:c r="P122" s="12" t="str">
        <x:f>IF(J122&lt;&gt;"Resolved","Pending",IF(N122&lt;=O122,"Yes","No"))</x:f>
        <x:v>Yes</x:v>
      </x:c>
      <x:c r="Q122" s="10" t="inlineStr">
        <x:is>
          <x:t xml:space="preserve">No</x:t>
        </x:is>
      </x:c>
      <x:c r="R122" s="12" t="n">
        <x:v>5</x:v>
      </x:c>
      <x:c r="S122" s="11" t="inlineStr">
        <x:is>
          <x:t xml:space="preserve">Network instability</x:t>
        </x:is>
      </x:c>
      <x:c r="T122" s="5" t="inlineStr">
        <x:is>
          <x:t xml:space="preserve">Remapped device/driver and confirmed successful test output.</x:t>
        </x:is>
      </x:c>
      <x:c r="U122" s="44" t="n">
        <x:v>46088.63263888889</x:v>
      </x:c>
    </x:row>
    <x:row r="123">
      <x:c r="A123" s="8" t="inlineStr">
        <x:is>
          <x:t xml:space="preserve">INC-202603-0122</x:t>
        </x:is>
      </x:c>
      <x:c r="B123" s="44" t="n">
        <x:v>46100.89861111111</x:v>
      </x:c>
      <x:c r="C123" s="10" t="inlineStr">
        <x:is>
          <x:t xml:space="preserve">US</x:t>
        </x:is>
      </x:c>
      <x:c r="D123" s="8" t="inlineStr">
        <x:is>
          <x:t xml:space="preserve">User 122</x:t>
        </x:is>
      </x:c>
      <x:c r="E123" s="11" t="inlineStr">
        <x:is>
          <x:t xml:space="preserve">Internal Services</x:t>
        </x:is>
      </x:c>
      <x:c r="F123" s="10" t="inlineStr">
        <x:is>
          <x:t xml:space="preserve">Web Ticket</x:t>
        </x:is>
      </x:c>
      <x:c r="G123" s="11" t="inlineStr">
        <x:is>
          <x:t xml:space="preserve">Software &amp; Application</x:t>
        </x:is>
      </x:c>
      <x:c r="H123" s="11" t="inlineStr">
        <x:is>
          <x:t xml:space="preserve">Plugin error</x:t>
        </x:is>
      </x:c>
      <x:c r="I123" s="10" t="inlineStr">
        <x:is>
          <x:t xml:space="preserve">High</x:t>
        </x:is>
      </x:c>
      <x:c r="J123" s="10" t="inlineStr">
        <x:is>
          <x:t xml:space="preserve">Resolved</x:t>
        </x:is>
      </x:c>
      <x:c r="K123" s="11" t="inlineStr">
        <x:is>
          <x:t xml:space="preserve">L1 Messaging Support</x:t>
        </x:is>
      </x:c>
      <x:c r="L123" s="10" t="inlineStr">
        <x:is>
          <x:t xml:space="preserve">Agent A</x:t>
        </x:is>
      </x:c>
      <x:c r="M123" s="12" t="n">
        <x:v>28</x:v>
      </x:c>
      <x:c r="N123" s="45" t="n">
        <x:v>7.5</x:v>
      </x:c>
      <x:c r="O123" s="12">
        <x:f>XLOOKUP(I123,SLA_Rules!$A$4:$A$7,SLA_Rules!$B$4:$B$7,"")</x:f>
        <x:v>8</x:v>
      </x:c>
      <x:c r="P123" s="12" t="str">
        <x:f>IF(J123&lt;&gt;"Resolved","Pending",IF(N123&lt;=O123,"Yes","No"))</x:f>
        <x:v>Yes</x:v>
      </x:c>
      <x:c r="Q123" s="10" t="inlineStr">
        <x:is>
          <x:t xml:space="preserve">No</x:t>
        </x:is>
      </x:c>
      <x:c r="R123" s="12" t="n">
        <x:v>5</x:v>
      </x:c>
      <x:c r="S123" s="11" t="inlineStr">
        <x:is>
          <x:t xml:space="preserve">Expired password</x:t>
        </x:is>
      </x:c>
      <x:c r="T123" s="5" t="inlineStr">
        <x:is>
          <x:t xml:space="preserve">Validated installation/configuration and completed application repair steps.</x:t>
        </x:is>
      </x:c>
      <x:c r="U123" s="44" t="n">
        <x:v>46101.21111111111</x:v>
      </x:c>
    </x:row>
    <x:row r="124">
      <x:c r="A124" s="8" t="inlineStr">
        <x:is>
          <x:t xml:space="preserve">INC-202603-0123</x:t>
        </x:is>
      </x:c>
      <x:c r="B124" s="44" t="n">
        <x:v>46099.37430555555</x:v>
      </x:c>
      <x:c r="C124" s="10" t="inlineStr">
        <x:is>
          <x:t xml:space="preserve">UK</x:t>
        </x:is>
      </x:c>
      <x:c r="D124" s="8" t="inlineStr">
        <x:is>
          <x:t xml:space="preserve">User 123</x:t>
        </x:is>
      </x:c>
      <x:c r="E124" s="11" t="inlineStr">
        <x:is>
          <x:t xml:space="preserve">Risk Advisory</x:t>
        </x:is>
      </x:c>
      <x:c r="F124" s="10" t="inlineStr">
        <x:is>
          <x:t xml:space="preserve">Chat</x:t>
        </x:is>
      </x:c>
      <x:c r="G124" s="11" t="inlineStr">
        <x:is>
          <x:t xml:space="preserve">Login &amp; Access</x:t>
        </x:is>
      </x:c>
      <x:c r="H124" s="11" t="inlineStr">
        <x:is>
          <x:t xml:space="preserve">Account locked</x:t>
        </x:is>
      </x:c>
      <x:c r="I124" s="10" t="inlineStr">
        <x:is>
          <x:t xml:space="preserve">Medium</x:t>
        </x:is>
      </x:c>
      <x:c r="J124" s="10" t="inlineStr">
        <x:is>
          <x:t xml:space="preserve">Pending User</x:t>
        </x:is>
      </x:c>
      <x:c r="K124" s="11" t="inlineStr">
        <x:is>
          <x:t xml:space="preserve">L1 Global Service Desk</x:t>
        </x:is>
      </x:c>
      <x:c r="L124" s="10" t="inlineStr">
        <x:is>
          <x:t xml:space="preserve">Agent G</x:t>
        </x:is>
      </x:c>
      <x:c r="M124" s="12" t="n">
        <x:v>89</x:v>
      </x:c>
      <x:c r="N124" s="12" t="n"/>
      <x:c r="O124" s="12">
        <x:f>XLOOKUP(I124,SLA_Rules!$A$4:$A$7,SLA_Rules!$B$4:$B$7,"")</x:f>
        <x:v>16</x:v>
      </x:c>
      <x:c r="P124" s="12" t="str">
        <x:f>IF(J124&lt;&gt;"Resolved","Pending",IF(N124&lt;=O124,"Yes","No"))</x:f>
        <x:v>Pending</x:v>
      </x:c>
      <x:c r="Q124" s="10" t="inlineStr">
        <x:is>
          <x:t xml:space="preserve">No</x:t>
        </x:is>
      </x:c>
      <x:c r="R124" s="12" t="n"/>
      <x:c r="S124" s="11" t="inlineStr">
        <x:is>
          <x:t xml:space="preserve">Configuration drift</x:t>
        </x:is>
      </x:c>
      <x:c r="T124" s="5" t="inlineStr">
        <x:is>
          <x:t xml:space="preserve">Validated identity, restored access path, and confirmed successful login.</x:t>
        </x:is>
      </x:c>
      <x:c r="U124" s="8" t="n"/>
    </x:row>
    <x:row r="125">
      <x:c r="A125" s="8" t="inlineStr">
        <x:is>
          <x:t xml:space="preserve">INC-202603-0124</x:t>
        </x:is>
      </x:c>
      <x:c r="B125" s="44" t="n">
        <x:v>46095.44791666666</x:v>
      </x:c>
      <x:c r="C125" s="10" t="inlineStr">
        <x:is>
          <x:t xml:space="preserve">UK</x:t>
        </x:is>
      </x:c>
      <x:c r="D125" s="8" t="inlineStr">
        <x:is>
          <x:t xml:space="preserve">User 124</x:t>
        </x:is>
      </x:c>
      <x:c r="E125" s="11" t="inlineStr">
        <x:is>
          <x:t xml:space="preserve">Risk Advisory</x:t>
        </x:is>
      </x:c>
      <x:c r="F125" s="10" t="inlineStr">
        <x:is>
          <x:t xml:space="preserve">Email</x:t>
        </x:is>
      </x:c>
      <x:c r="G125" s="11" t="inlineStr">
        <x:is>
          <x:t xml:space="preserve">Login &amp; Access</x:t>
        </x:is>
      </x:c>
      <x:c r="H125" s="11" t="inlineStr">
        <x:is>
          <x:t xml:space="preserve">Shared drive permission</x:t>
        </x:is>
      </x:c>
      <x:c r="I125" s="10" t="inlineStr">
        <x:is>
          <x:t xml:space="preserve">High</x:t>
        </x:is>
      </x:c>
      <x:c r="J125" s="10" t="inlineStr">
        <x:is>
          <x:t xml:space="preserve">Resolved</x:t>
        </x:is>
      </x:c>
      <x:c r="K125" s="11" t="inlineStr">
        <x:is>
          <x:t xml:space="preserve">L1 Global Service Desk</x:t>
        </x:is>
      </x:c>
      <x:c r="L125" s="10" t="inlineStr">
        <x:is>
          <x:t xml:space="preserve">Agent A</x:t>
        </x:is>
      </x:c>
      <x:c r="M125" s="12" t="n">
        <x:v>14</x:v>
      </x:c>
      <x:c r="N125" s="45" t="n">
        <x:v>5.6</x:v>
      </x:c>
      <x:c r="O125" s="12">
        <x:f>XLOOKUP(I125,SLA_Rules!$A$4:$A$7,SLA_Rules!$B$4:$B$7,"")</x:f>
        <x:v>8</x:v>
      </x:c>
      <x:c r="P125" s="12" t="str">
        <x:f>IF(J125&lt;&gt;"Resolved","Pending",IF(N125&lt;=O125,"Yes","No"))</x:f>
        <x:v>Yes</x:v>
      </x:c>
      <x:c r="Q125" s="10" t="inlineStr">
        <x:is>
          <x:t xml:space="preserve">No</x:t>
        </x:is>
      </x:c>
      <x:c r="R125" s="12" t="n">
        <x:v>3</x:v>
      </x:c>
      <x:c r="S125" s="11" t="inlineStr">
        <x:is>
          <x:t xml:space="preserve">Configuration drift</x:t>
        </x:is>
      </x:c>
      <x:c r="T125" s="5" t="inlineStr">
        <x:is>
          <x:t xml:space="preserve">Validated identity, restored access path, and confirmed successful login.</x:t>
        </x:is>
      </x:c>
      <x:c r="U125" s="44" t="n">
        <x:v>46095.68125</x:v>
      </x:c>
    </x:row>
    <x:row r="126">
      <x:c r="A126" s="8" t="inlineStr">
        <x:is>
          <x:t xml:space="preserve">INC-202603-0125</x:t>
        </x:is>
      </x:c>
      <x:c r="B126" s="44" t="n">
        <x:v>46084.85833333333</x:v>
      </x:c>
      <x:c r="C126" s="10" t="inlineStr">
        <x:is>
          <x:t xml:space="preserve">UK</x:t>
        </x:is>
      </x:c>
      <x:c r="D126" s="8" t="inlineStr">
        <x:is>
          <x:t xml:space="preserve">User 125</x:t>
        </x:is>
      </x:c>
      <x:c r="E126" s="11" t="inlineStr">
        <x:is>
          <x:t xml:space="preserve">Internal Services</x:t>
        </x:is>
      </x:c>
      <x:c r="F126" s="10" t="inlineStr">
        <x:is>
          <x:t xml:space="preserve">Phone</x:t>
        </x:is>
      </x:c>
      <x:c r="G126" s="11" t="inlineStr">
        <x:is>
          <x:t xml:space="preserve">Network &amp; VPN</x:t>
        </x:is>
      </x:c>
      <x:c r="H126" s="11" t="inlineStr">
        <x:is>
          <x:t xml:space="preserve">DNS error</x:t>
        </x:is>
      </x:c>
      <x:c r="I126" s="10" t="inlineStr">
        <x:is>
          <x:t xml:space="preserve">Medium</x:t>
        </x:is>
      </x:c>
      <x:c r="J126" s="10" t="inlineStr">
        <x:is>
          <x:t xml:space="preserve">Resolved</x:t>
        </x:is>
      </x:c>
      <x:c r="K126" s="11" t="inlineStr">
        <x:is>
          <x:t xml:space="preserve">L1 Global Service Desk</x:t>
        </x:is>
      </x:c>
      <x:c r="L126" s="10" t="inlineStr">
        <x:is>
          <x:t xml:space="preserve">Agent G</x:t>
        </x:is>
      </x:c>
      <x:c r="M126" s="12" t="n">
        <x:v>16</x:v>
      </x:c>
      <x:c r="N126" s="45" t="n">
        <x:v>11.9</x:v>
      </x:c>
      <x:c r="O126" s="12">
        <x:f>XLOOKUP(I126,SLA_Rules!$A$4:$A$7,SLA_Rules!$B$4:$B$7,"")</x:f>
        <x:v>16</x:v>
      </x:c>
      <x:c r="P126" s="12" t="str">
        <x:f>IF(J126&lt;&gt;"Resolved","Pending",IF(N126&lt;=O126,"Yes","No"))</x:f>
        <x:v>Yes</x:v>
      </x:c>
      <x:c r="Q126" s="10" t="inlineStr">
        <x:is>
          <x:t xml:space="preserve">No</x:t>
        </x:is>
      </x:c>
      <x:c r="R126" s="12" t="n">
        <x:v>5</x:v>
      </x:c>
      <x:c r="S126" s="11" t="inlineStr">
        <x:is>
          <x:t xml:space="preserve">Configuration drift</x:t>
        </x:is>
      </x:c>
      <x:c r="T126" s="5" t="inlineStr">
        <x:is>
          <x:t xml:space="preserve">Checked connectivity path, reconfigured VPN settings, and confirmed stable access.</x:t>
        </x:is>
      </x:c>
      <x:c r="U126" s="44" t="n">
        <x:v>46085.35416666666</x:v>
      </x:c>
    </x:row>
    <x:row r="127">
      <x:c r="A127" s="8" t="inlineStr">
        <x:is>
          <x:t xml:space="preserve">INC-202603-0126</x:t>
        </x:is>
      </x:c>
      <x:c r="B127" s="44" t="n">
        <x:v>46091.77638888889</x:v>
      </x:c>
      <x:c r="C127" s="10" t="inlineStr">
        <x:is>
          <x:t xml:space="preserve">US</x:t>
        </x:is>
      </x:c>
      <x:c r="D127" s="8" t="inlineStr">
        <x:is>
          <x:t xml:space="preserve">User 126</x:t>
        </x:is>
      </x:c>
      <x:c r="E127" s="11" t="inlineStr">
        <x:is>
          <x:t xml:space="preserve">Internal Services</x:t>
        </x:is>
      </x:c>
      <x:c r="F127" s="10" t="inlineStr">
        <x:is>
          <x:t xml:space="preserve">Email</x:t>
        </x:is>
      </x:c>
      <x:c r="G127" s="11" t="inlineStr">
        <x:is>
          <x:t xml:space="preserve">Network &amp; VPN</x:t>
        </x:is>
      </x:c>
      <x:c r="H127" s="11" t="inlineStr">
        <x:is>
          <x:t xml:space="preserve">Wi-Fi unstable</x:t>
        </x:is>
      </x:c>
      <x:c r="I127" s="10" t="inlineStr">
        <x:is>
          <x:t xml:space="preserve">High</x:t>
        </x:is>
      </x:c>
      <x:c r="J127" s="10" t="inlineStr">
        <x:is>
          <x:t xml:space="preserve">Pending User</x:t>
        </x:is>
      </x:c>
      <x:c r="K127" s="11" t="inlineStr">
        <x:is>
          <x:t xml:space="preserve">L1 Global Service Desk</x:t>
        </x:is>
      </x:c>
      <x:c r="L127" s="10" t="inlineStr">
        <x:is>
          <x:t xml:space="preserve">Agent A</x:t>
        </x:is>
      </x:c>
      <x:c r="M127" s="12" t="n">
        <x:v>15</x:v>
      </x:c>
      <x:c r="N127" s="12" t="n"/>
      <x:c r="O127" s="12">
        <x:f>XLOOKUP(I127,SLA_Rules!$A$4:$A$7,SLA_Rules!$B$4:$B$7,"")</x:f>
        <x:v>8</x:v>
      </x:c>
      <x:c r="P127" s="12" t="str">
        <x:f>IF(J127&lt;&gt;"Resolved","Pending",IF(N127&lt;=O127,"Yes","No"))</x:f>
        <x:v>Pending</x:v>
      </x:c>
      <x:c r="Q127" s="10" t="inlineStr">
        <x:is>
          <x:t xml:space="preserve">No</x:t>
        </x:is>
      </x:c>
      <x:c r="R127" s="12" t="n"/>
      <x:c r="S127" s="11" t="inlineStr">
        <x:is>
          <x:t xml:space="preserve">Permission mismatch</x:t>
        </x:is>
      </x:c>
      <x:c r="T127" s="5" t="inlineStr">
        <x:is>
          <x:t xml:space="preserve">Checked connectivity path, reconfigured VPN settings, and confirmed stable access.</x:t>
        </x:is>
      </x:c>
      <x:c r="U127" s="8" t="n"/>
    </x:row>
    <x:row r="128">
      <x:c r="A128" s="8" t="inlineStr">
        <x:is>
          <x:t xml:space="preserve">INC-202603-0127</x:t>
        </x:is>
      </x:c>
      <x:c r="B128" s="44" t="n">
        <x:v>46105.61180555556</x:v>
      </x:c>
      <x:c r="C128" s="10" t="inlineStr">
        <x:is>
          <x:t xml:space="preserve">US</x:t>
        </x:is>
      </x:c>
      <x:c r="D128" s="8" t="inlineStr">
        <x:is>
          <x:t xml:space="preserve">User 127</x:t>
        </x:is>
      </x:c>
      <x:c r="E128" s="11" t="inlineStr">
        <x:is>
          <x:t xml:space="preserve">Tax</x:t>
        </x:is>
      </x:c>
      <x:c r="F128" s="10" t="inlineStr">
        <x:is>
          <x:t xml:space="preserve">Phone</x:t>
        </x:is>
      </x:c>
      <x:c r="G128" s="11" t="inlineStr">
        <x:is>
          <x:t xml:space="preserve">Printer &amp; Peripheral</x:t>
        </x:is>
      </x:c>
      <x:c r="H128" s="11" t="inlineStr">
        <x:is>
          <x:t xml:space="preserve">Printer queue stuck</x:t>
        </x:is>
      </x:c>
      <x:c r="I128" s="10" t="inlineStr">
        <x:is>
          <x:t xml:space="preserve">Low</x:t>
        </x:is>
      </x:c>
      <x:c r="J128" s="10" t="inlineStr">
        <x:is>
          <x:t xml:space="preserve">In Progress</x:t>
        </x:is>
      </x:c>
      <x:c r="K128" s="11" t="inlineStr">
        <x:is>
          <x:t xml:space="preserve">L1 Messaging Support</x:t>
        </x:is>
      </x:c>
      <x:c r="L128" s="10" t="inlineStr">
        <x:is>
          <x:t xml:space="preserve">Agent B</x:t>
        </x:is>
      </x:c>
      <x:c r="M128" s="12" t="n">
        <x:v>101</x:v>
      </x:c>
      <x:c r="N128" s="12" t="n"/>
      <x:c r="O128" s="12">
        <x:f>XLOOKUP(I128,SLA_Rules!$A$4:$A$7,SLA_Rules!$B$4:$B$7,"")</x:f>
        <x:v>24</x:v>
      </x:c>
      <x:c r="P128" s="12" t="str">
        <x:f>IF(J128&lt;&gt;"Resolved","Pending",IF(N128&lt;=O128,"Yes","No"))</x:f>
        <x:v>Pending</x:v>
      </x:c>
      <x:c r="Q128" s="10" t="inlineStr">
        <x:is>
          <x:t xml:space="preserve">No</x:t>
        </x:is>
      </x:c>
      <x:c r="R128" s="12" t="n"/>
      <x:c r="S128" s="11" t="inlineStr">
        <x:is>
          <x:t xml:space="preserve">User error</x:t>
        </x:is>
      </x:c>
      <x:c r="T128" s="5" t="inlineStr">
        <x:is>
          <x:t xml:space="preserve">Remapped device/driver and confirmed successful test output.</x:t>
        </x:is>
      </x:c>
      <x:c r="U128" s="8" t="n"/>
    </x:row>
    <x:row r="129">
      <x:c r="A129" s="8" t="inlineStr">
        <x:is>
          <x:t xml:space="preserve">INC-202603-0128</x:t>
        </x:is>
      </x:c>
      <x:c r="B129" s="44" t="n">
        <x:v>46092.10069444445</x:v>
      </x:c>
      <x:c r="C129" s="10" t="inlineStr">
        <x:is>
          <x:t xml:space="preserve">India</x:t>
        </x:is>
      </x:c>
      <x:c r="D129" s="8" t="inlineStr">
        <x:is>
          <x:t xml:space="preserve">User 128</x:t>
        </x:is>
      </x:c>
      <x:c r="E129" s="11" t="inlineStr">
        <x:is>
          <x:t xml:space="preserve">HR</x:t>
        </x:is>
      </x:c>
      <x:c r="F129" s="10" t="inlineStr">
        <x:is>
          <x:t xml:space="preserve">Chat</x:t>
        </x:is>
      </x:c>
      <x:c r="G129" s="11" t="inlineStr">
        <x:is>
          <x:t xml:space="preserve">Software &amp; Application</x:t>
        </x:is>
      </x:c>
      <x:c r="H129" s="11" t="inlineStr">
        <x:is>
          <x:t xml:space="preserve">License activation</x:t>
        </x:is>
      </x:c>
      <x:c r="I129" s="10" t="inlineStr">
        <x:is>
          <x:t xml:space="preserve">Low</x:t>
        </x:is>
      </x:c>
      <x:c r="J129" s="10" t="inlineStr">
        <x:is>
          <x:t xml:space="preserve">Resolved</x:t>
        </x:is>
      </x:c>
      <x:c r="K129" s="11" t="inlineStr">
        <x:is>
          <x:t xml:space="preserve">L1 Endpoint Support</x:t>
        </x:is>
      </x:c>
      <x:c r="L129" s="10" t="inlineStr">
        <x:is>
          <x:t xml:space="preserve">Agent E</x:t>
        </x:is>
      </x:c>
      <x:c r="M129" s="12" t="n">
        <x:v>59</x:v>
      </x:c>
      <x:c r="N129" s="45" t="n">
        <x:v>7.1</x:v>
      </x:c>
      <x:c r="O129" s="12">
        <x:f>XLOOKUP(I129,SLA_Rules!$A$4:$A$7,SLA_Rules!$B$4:$B$7,"")</x:f>
        <x:v>24</x:v>
      </x:c>
      <x:c r="P129" s="12" t="str">
        <x:f>IF(J129&lt;&gt;"Resolved","Pending",IF(N129&lt;=O129,"Yes","No"))</x:f>
        <x:v>Yes</x:v>
      </x:c>
      <x:c r="Q129" s="10" t="inlineStr">
        <x:is>
          <x:t xml:space="preserve">No</x:t>
        </x:is>
      </x:c>
      <x:c r="R129" s="12" t="n">
        <x:v>5</x:v>
      </x:c>
      <x:c r="S129" s="11" t="inlineStr">
        <x:is>
          <x:t xml:space="preserve">Network instability</x:t>
        </x:is>
      </x:c>
      <x:c r="T129" s="5" t="inlineStr">
        <x:is>
          <x:t xml:space="preserve">Validated installation/configuration and completed application repair steps.</x:t>
        </x:is>
      </x:c>
      <x:c r="U129" s="44" t="n">
        <x:v>46092.39652777778</x:v>
      </x:c>
    </x:row>
    <x:row r="130">
      <x:c r="A130" s="8" t="inlineStr">
        <x:is>
          <x:t xml:space="preserve">INC-202603-0129</x:t>
        </x:is>
      </x:c>
      <x:c r="B130" s="44" t="n">
        <x:v>46093.92708333334</x:v>
      </x:c>
      <x:c r="C130" s="10" t="inlineStr">
        <x:is>
          <x:t xml:space="preserve">India</x:t>
        </x:is>
      </x:c>
      <x:c r="D130" s="8" t="inlineStr">
        <x:is>
          <x:t xml:space="preserve">User 129</x:t>
        </x:is>
      </x:c>
      <x:c r="E130" s="11" t="inlineStr">
        <x:is>
          <x:t xml:space="preserve">Audit</x:t>
        </x:is>
      </x:c>
      <x:c r="F130" s="10" t="inlineStr">
        <x:is>
          <x:t xml:space="preserve">Phone</x:t>
        </x:is>
      </x:c>
      <x:c r="G130" s="11" t="inlineStr">
        <x:is>
          <x:t xml:space="preserve">Login &amp; Access</x:t>
        </x:is>
      </x:c>
      <x:c r="H130" s="11" t="inlineStr">
        <x:is>
          <x:t xml:space="preserve">Access denied</x:t>
        </x:is>
      </x:c>
      <x:c r="I130" s="10" t="inlineStr">
        <x:is>
          <x:t xml:space="preserve">High</x:t>
        </x:is>
      </x:c>
      <x:c r="J130" s="10" t="inlineStr">
        <x:is>
          <x:t xml:space="preserve">Resolved</x:t>
        </x:is>
      </x:c>
      <x:c r="K130" s="11" t="inlineStr">
        <x:is>
          <x:t xml:space="preserve">L1 Identity Support</x:t>
        </x:is>
      </x:c>
      <x:c r="L130" s="10" t="inlineStr">
        <x:is>
          <x:t xml:space="preserve">Agent F</x:t>
        </x:is>
      </x:c>
      <x:c r="M130" s="12" t="n">
        <x:v>25</x:v>
      </x:c>
      <x:c r="N130" s="45" t="n">
        <x:v>2</x:v>
      </x:c>
      <x:c r="O130" s="12">
        <x:f>XLOOKUP(I130,SLA_Rules!$A$4:$A$7,SLA_Rules!$B$4:$B$7,"")</x:f>
        <x:v>8</x:v>
      </x:c>
      <x:c r="P130" s="12" t="str">
        <x:f>IF(J130&lt;&gt;"Resolved","Pending",IF(N130&lt;=O130,"Yes","No"))</x:f>
        <x:v>Yes</x:v>
      </x:c>
      <x:c r="Q130" s="10" t="inlineStr">
        <x:is>
          <x:t xml:space="preserve">No</x:t>
        </x:is>
      </x:c>
      <x:c r="R130" s="12" t="n">
        <x:v>4</x:v>
      </x:c>
      <x:c r="S130" s="11" t="inlineStr">
        <x:is>
          <x:t xml:space="preserve">Expired password</x:t>
        </x:is>
      </x:c>
      <x:c r="T130" s="5" t="inlineStr">
        <x:is>
          <x:t xml:space="preserve">Validated identity, restored access path, and confirmed successful login.</x:t>
        </x:is>
      </x:c>
      <x:c r="U130" s="44" t="n">
        <x:v>46094.01041666666</x:v>
      </x:c>
    </x:row>
    <x:row r="131">
      <x:c r="A131" s="8" t="inlineStr">
        <x:is>
          <x:t xml:space="preserve">INC-202603-0130</x:t>
        </x:is>
      </x:c>
      <x:c r="B131" s="44" t="n">
        <x:v>46101.47638888889</x:v>
      </x:c>
      <x:c r="C131" s="10" t="inlineStr">
        <x:is>
          <x:t xml:space="preserve">India</x:t>
        </x:is>
      </x:c>
      <x:c r="D131" s="8" t="inlineStr">
        <x:is>
          <x:t xml:space="preserve">User 130</x:t>
        </x:is>
      </x:c>
      <x:c r="E131" s="11" t="inlineStr">
        <x:is>
          <x:t xml:space="preserve">Consulting</x:t>
        </x:is>
      </x:c>
      <x:c r="F131" s="10" t="inlineStr">
        <x:is>
          <x:t xml:space="preserve">Phone</x:t>
        </x:is>
      </x:c>
      <x:c r="G131" s="11" t="inlineStr">
        <x:is>
          <x:t xml:space="preserve">Software &amp; Application</x:t>
        </x:is>
      </x:c>
      <x:c r="H131" s="11" t="inlineStr">
        <x:is>
          <x:t xml:space="preserve">License activation</x:t>
        </x:is>
      </x:c>
      <x:c r="I131" s="10" t="inlineStr">
        <x:is>
          <x:t xml:space="preserve">High</x:t>
        </x:is>
      </x:c>
      <x:c r="J131" s="10" t="inlineStr">
        <x:is>
          <x:t xml:space="preserve">Resolved</x:t>
        </x:is>
      </x:c>
      <x:c r="K131" s="11" t="inlineStr">
        <x:is>
          <x:t xml:space="preserve">L1 Endpoint Support</x:t>
        </x:is>
      </x:c>
      <x:c r="L131" s="10" t="inlineStr">
        <x:is>
          <x:t xml:space="preserve">Agent F</x:t>
        </x:is>
      </x:c>
      <x:c r="M131" s="12" t="n">
        <x:v>19</x:v>
      </x:c>
      <x:c r="N131" s="45" t="n">
        <x:v>7</x:v>
      </x:c>
      <x:c r="O131" s="12">
        <x:f>XLOOKUP(I131,SLA_Rules!$A$4:$A$7,SLA_Rules!$B$4:$B$7,"")</x:f>
        <x:v>8</x:v>
      </x:c>
      <x:c r="P131" s="12" t="str">
        <x:f>IF(J131&lt;&gt;"Resolved","Pending",IF(N131&lt;=O131,"Yes","No"))</x:f>
        <x:v>Yes</x:v>
      </x:c>
      <x:c r="Q131" s="10" t="inlineStr">
        <x:is>
          <x:t xml:space="preserve">No</x:t>
        </x:is>
      </x:c>
      <x:c r="R131" s="12" t="n">
        <x:v>5</x:v>
      </x:c>
      <x:c r="S131" s="11" t="inlineStr">
        <x:is>
          <x:t xml:space="preserve">Policy enforcement</x:t>
        </x:is>
      </x:c>
      <x:c r="T131" s="5" t="inlineStr">
        <x:is>
          <x:t xml:space="preserve">Validated installation/configuration and completed application repair steps.</x:t>
        </x:is>
      </x:c>
      <x:c r="U131" s="44" t="n">
        <x:v>46101.76805555556</x:v>
      </x:c>
    </x:row>
    <x:row r="132">
      <x:c r="A132" s="8" t="inlineStr">
        <x:is>
          <x:t xml:space="preserve">INC-202603-0131</x:t>
        </x:is>
      </x:c>
      <x:c r="B132" s="44" t="n">
        <x:v>46099.675</x:v>
      </x:c>
      <x:c r="C132" s="10" t="inlineStr">
        <x:is>
          <x:t xml:space="preserve">US</x:t>
        </x:is>
      </x:c>
      <x:c r="D132" s="8" t="inlineStr">
        <x:is>
          <x:t xml:space="preserve">User 131</x:t>
        </x:is>
      </x:c>
      <x:c r="E132" s="11" t="inlineStr">
        <x:is>
          <x:t xml:space="preserve">Tax</x:t>
        </x:is>
      </x:c>
      <x:c r="F132" s="10" t="inlineStr">
        <x:is>
          <x:t xml:space="preserve">Web Ticket</x:t>
        </x:is>
      </x:c>
      <x:c r="G132" s="11" t="inlineStr">
        <x:is>
          <x:t xml:space="preserve">Password Reset</x:t>
        </x:is>
      </x:c>
      <x:c r="H132" s="11" t="inlineStr">
        <x:is>
          <x:t xml:space="preserve">Password expired</x:t>
        </x:is>
      </x:c>
      <x:c r="I132" s="10" t="inlineStr">
        <x:is>
          <x:t xml:space="preserve">Low</x:t>
        </x:is>
      </x:c>
      <x:c r="J132" s="10" t="inlineStr">
        <x:is>
          <x:t xml:space="preserve">Resolved</x:t>
        </x:is>
      </x:c>
      <x:c r="K132" s="11" t="inlineStr">
        <x:is>
          <x:t xml:space="preserve">L1 Global Service Desk</x:t>
        </x:is>
      </x:c>
      <x:c r="L132" s="10" t="inlineStr">
        <x:is>
          <x:t xml:space="preserve">Agent G</x:t>
        </x:is>
      </x:c>
      <x:c r="M132" s="12" t="n">
        <x:v>107</x:v>
      </x:c>
      <x:c r="N132" s="45" t="n">
        <x:v>6.5</x:v>
      </x:c>
      <x:c r="O132" s="12">
        <x:f>XLOOKUP(I132,SLA_Rules!$A$4:$A$7,SLA_Rules!$B$4:$B$7,"")</x:f>
        <x:v>24</x:v>
      </x:c>
      <x:c r="P132" s="12" t="str">
        <x:f>IF(J132&lt;&gt;"Resolved","Pending",IF(N132&lt;=O132,"Yes","No"))</x:f>
        <x:v>Yes</x:v>
      </x:c>
      <x:c r="Q132" s="10" t="inlineStr">
        <x:is>
          <x:t xml:space="preserve">No</x:t>
        </x:is>
      </x:c>
      <x:c r="R132" s="12" t="n">
        <x:v>5</x:v>
      </x:c>
      <x:c r="S132" s="11" t="inlineStr">
        <x:is>
          <x:t xml:space="preserve">Permission mismatch</x:t>
        </x:is>
      </x:c>
      <x:c r="T132" s="5" t="inlineStr">
        <x:is>
          <x:t xml:space="preserve">Completed identity validation and processed password reset successfully.</x:t>
        </x:is>
      </x:c>
      <x:c r="U132" s="44" t="n">
        <x:v>46099.94583333333</x:v>
      </x:c>
    </x:row>
    <x:row r="133">
      <x:c r="A133" s="8" t="inlineStr">
        <x:is>
          <x:t xml:space="preserve">INC-202603-0132</x:t>
        </x:is>
      </x:c>
      <x:c r="B133" s="44" t="n">
        <x:v>46098.56180555555</x:v>
      </x:c>
      <x:c r="C133" s="10" t="inlineStr">
        <x:is>
          <x:t xml:space="preserve">APAC</x:t>
        </x:is>
      </x:c>
      <x:c r="D133" s="8" t="inlineStr">
        <x:is>
          <x:t xml:space="preserve">User 132</x:t>
        </x:is>
      </x:c>
      <x:c r="E133" s="11" t="inlineStr">
        <x:is>
          <x:t xml:space="preserve">Audit</x:t>
        </x:is>
      </x:c>
      <x:c r="F133" s="10" t="inlineStr">
        <x:is>
          <x:t xml:space="preserve">Email</x:t>
        </x:is>
      </x:c>
      <x:c r="G133" s="11" t="inlineStr">
        <x:is>
          <x:t xml:space="preserve">Login &amp; Access</x:t>
        </x:is>
      </x:c>
      <x:c r="H133" s="11" t="inlineStr">
        <x:is>
          <x:t xml:space="preserve">SSO failure</x:t>
        </x:is>
      </x:c>
      <x:c r="I133" s="10" t="inlineStr">
        <x:is>
          <x:t xml:space="preserve">High</x:t>
        </x:is>
      </x:c>
      <x:c r="J133" s="10" t="inlineStr">
        <x:is>
          <x:t xml:space="preserve">Resolved</x:t>
        </x:is>
      </x:c>
      <x:c r="K133" s="11" t="inlineStr">
        <x:is>
          <x:t xml:space="preserve">L1 Identity Support</x:t>
        </x:is>
      </x:c>
      <x:c r="L133" s="10" t="inlineStr">
        <x:is>
          <x:t xml:space="preserve">Agent B</x:t>
        </x:is>
      </x:c>
      <x:c r="M133" s="12" t="n">
        <x:v>25</x:v>
      </x:c>
      <x:c r="N133" s="45" t="n">
        <x:v>4.8</x:v>
      </x:c>
      <x:c r="O133" s="12">
        <x:f>XLOOKUP(I133,SLA_Rules!$A$4:$A$7,SLA_Rules!$B$4:$B$7,"")</x:f>
        <x:v>8</x:v>
      </x:c>
      <x:c r="P133" s="12" t="str">
        <x:f>IF(J133&lt;&gt;"Resolved","Pending",IF(N133&lt;=O133,"Yes","No"))</x:f>
        <x:v>Yes</x:v>
      </x:c>
      <x:c r="Q133" s="10" t="inlineStr">
        <x:is>
          <x:t xml:space="preserve">No</x:t>
        </x:is>
      </x:c>
      <x:c r="R133" s="12" t="n">
        <x:v>5</x:v>
      </x:c>
      <x:c r="S133" s="11" t="inlineStr">
        <x:is>
          <x:t xml:space="preserve">User error</x:t>
        </x:is>
      </x:c>
      <x:c r="T133" s="5" t="inlineStr">
        <x:is>
          <x:t xml:space="preserve">Validated identity, restored access path, and confirmed successful login.</x:t>
        </x:is>
      </x:c>
      <x:c r="U133" s="44" t="n">
        <x:v>46098.76180555556</x:v>
      </x:c>
    </x:row>
    <x:row r="134">
      <x:c r="A134" s="8" t="inlineStr">
        <x:is>
          <x:t xml:space="preserve">INC-202603-0133</x:t>
        </x:is>
      </x:c>
      <x:c r="B134" s="44" t="n">
        <x:v>46083.39305555556</x:v>
      </x:c>
      <x:c r="C134" s="10" t="inlineStr">
        <x:is>
          <x:t xml:space="preserve">US</x:t>
        </x:is>
      </x:c>
      <x:c r="D134" s="8" t="inlineStr">
        <x:is>
          <x:t xml:space="preserve">User 133</x:t>
        </x:is>
      </x:c>
      <x:c r="E134" s="11" t="inlineStr">
        <x:is>
          <x:t xml:space="preserve">Audit</x:t>
        </x:is>
      </x:c>
      <x:c r="F134" s="10" t="inlineStr">
        <x:is>
          <x:t xml:space="preserve">Phone</x:t>
        </x:is>
      </x:c>
      <x:c r="G134" s="11" t="inlineStr">
        <x:is>
          <x:t xml:space="preserve">Hardware</x:t>
        </x:is>
      </x:c>
      <x:c r="H134" s="11" t="inlineStr">
        <x:is>
          <x:t xml:space="preserve">Blue screen</x:t>
        </x:is>
      </x:c>
      <x:c r="I134" s="10" t="inlineStr">
        <x:is>
          <x:t xml:space="preserve">Low</x:t>
        </x:is>
      </x:c>
      <x:c r="J134" s="10" t="inlineStr">
        <x:is>
          <x:t xml:space="preserve">Resolved</x:t>
        </x:is>
      </x:c>
      <x:c r="K134" s="11" t="inlineStr">
        <x:is>
          <x:t xml:space="preserve">L1 Global Service Desk</x:t>
        </x:is>
      </x:c>
      <x:c r="L134" s="10" t="inlineStr">
        <x:is>
          <x:t xml:space="preserve">Agent D</x:t>
        </x:is>
      </x:c>
      <x:c r="M134" s="12" t="n">
        <x:v>131</x:v>
      </x:c>
      <x:c r="N134" s="45" t="n">
        <x:v>6.2</x:v>
      </x:c>
      <x:c r="O134" s="12">
        <x:f>XLOOKUP(I134,SLA_Rules!$A$4:$A$7,SLA_Rules!$B$4:$B$7,"")</x:f>
        <x:v>24</x:v>
      </x:c>
      <x:c r="P134" s="12" t="str">
        <x:f>IF(J134&lt;&gt;"Resolved","Pending",IF(N134&lt;=O134,"Yes","No"))</x:f>
        <x:v>Yes</x:v>
      </x:c>
      <x:c r="Q134" s="10" t="inlineStr">
        <x:is>
          <x:t xml:space="preserve">No</x:t>
        </x:is>
      </x:c>
      <x:c r="R134" s="12" t="n">
        <x:v>4</x:v>
      </x:c>
      <x:c r="S134" s="11" t="inlineStr">
        <x:is>
          <x:t xml:space="preserve">Pending update</x:t>
        </x:is>
      </x:c>
      <x:c r="T134" s="5" t="inlineStr">
        <x:is>
          <x:t xml:space="preserve">Ran endpoint checks and provided workaround or hardware escalation as needed.</x:t>
        </x:is>
      </x:c>
      <x:c r="U134" s="44" t="n">
        <x:v>46083.65138888889</x:v>
      </x:c>
    </x:row>
    <x:row r="135">
      <x:c r="A135" s="8" t="inlineStr">
        <x:is>
          <x:t xml:space="preserve">INC-202603-0134</x:t>
        </x:is>
      </x:c>
      <x:c r="B135" s="44" t="n">
        <x:v>46087.72569444445</x:v>
      </x:c>
      <x:c r="C135" s="10" t="inlineStr">
        <x:is>
          <x:t xml:space="preserve">APAC</x:t>
        </x:is>
      </x:c>
      <x:c r="D135" s="8" t="inlineStr">
        <x:is>
          <x:t xml:space="preserve">User 134</x:t>
        </x:is>
      </x:c>
      <x:c r="E135" s="11" t="inlineStr">
        <x:is>
          <x:t xml:space="preserve">Consulting</x:t>
        </x:is>
      </x:c>
      <x:c r="F135" s="10" t="inlineStr">
        <x:is>
          <x:t xml:space="preserve">Web Ticket</x:t>
        </x:is>
      </x:c>
      <x:c r="G135" s="11" t="inlineStr">
        <x:is>
          <x:t xml:space="preserve">Network &amp; VPN</x:t>
        </x:is>
      </x:c>
      <x:c r="H135" s="11" t="inlineStr">
        <x:is>
          <x:t xml:space="preserve">DNS error</x:t>
        </x:is>
      </x:c>
      <x:c r="I135" s="10" t="inlineStr">
        <x:is>
          <x:t xml:space="preserve">Medium</x:t>
        </x:is>
      </x:c>
      <x:c r="J135" s="10" t="inlineStr">
        <x:is>
          <x:t xml:space="preserve">Resolved</x:t>
        </x:is>
      </x:c>
      <x:c r="K135" s="11" t="inlineStr">
        <x:is>
          <x:t xml:space="preserve">L1 Messaging Support</x:t>
        </x:is>
      </x:c>
      <x:c r="L135" s="10" t="inlineStr">
        <x:is>
          <x:t xml:space="preserve">Agent A</x:t>
        </x:is>
      </x:c>
      <x:c r="M135" s="12" t="n">
        <x:v>40</x:v>
      </x:c>
      <x:c r="N135" s="45" t="n">
        <x:v>11.7</x:v>
      </x:c>
      <x:c r="O135" s="12">
        <x:f>XLOOKUP(I135,SLA_Rules!$A$4:$A$7,SLA_Rules!$B$4:$B$7,"")</x:f>
        <x:v>16</x:v>
      </x:c>
      <x:c r="P135" s="12" t="str">
        <x:f>IF(J135&lt;&gt;"Resolved","Pending",IF(N135&lt;=O135,"Yes","No"))</x:f>
        <x:v>Yes</x:v>
      </x:c>
      <x:c r="Q135" s="10" t="inlineStr">
        <x:is>
          <x:t xml:space="preserve">No</x:t>
        </x:is>
      </x:c>
      <x:c r="R135" s="12" t="n">
        <x:v>5</x:v>
      </x:c>
      <x:c r="S135" s="11" t="inlineStr">
        <x:is>
          <x:t xml:space="preserve">User error</x:t>
        </x:is>
      </x:c>
      <x:c r="T135" s="5" t="inlineStr">
        <x:is>
          <x:t xml:space="preserve">Checked connectivity path, reconfigured VPN settings, and confirmed stable access.</x:t>
        </x:is>
      </x:c>
      <x:c r="U135" s="44" t="n">
        <x:v>46088.21319444444</x:v>
      </x:c>
    </x:row>
    <x:row r="136">
      <x:c r="A136" s="8" t="inlineStr">
        <x:is>
          <x:t xml:space="preserve">INC-202603-0135</x:t>
        </x:is>
      </x:c>
      <x:c r="B136" s="44" t="n">
        <x:v>46088.99166666667</x:v>
      </x:c>
      <x:c r="C136" s="10" t="inlineStr">
        <x:is>
          <x:t xml:space="preserve">APAC</x:t>
        </x:is>
      </x:c>
      <x:c r="D136" s="8" t="inlineStr">
        <x:is>
          <x:t xml:space="preserve">User 135</x:t>
        </x:is>
      </x:c>
      <x:c r="E136" s="11" t="inlineStr">
        <x:is>
          <x:t xml:space="preserve">Finance</x:t>
        </x:is>
      </x:c>
      <x:c r="F136" s="10" t="inlineStr">
        <x:is>
          <x:t xml:space="preserve">Phone</x:t>
        </x:is>
      </x:c>
      <x:c r="G136" s="11" t="inlineStr">
        <x:is>
          <x:t xml:space="preserve">Printer &amp; Peripheral</x:t>
        </x:is>
      </x:c>
      <x:c r="H136" s="11" t="inlineStr">
        <x:is>
          <x:t xml:space="preserve">Printer queue stuck</x:t>
        </x:is>
      </x:c>
      <x:c r="I136" s="10" t="inlineStr">
        <x:is>
          <x:t xml:space="preserve">Low</x:t>
        </x:is>
      </x:c>
      <x:c r="J136" s="10" t="inlineStr">
        <x:is>
          <x:t xml:space="preserve">Resolved</x:t>
        </x:is>
      </x:c>
      <x:c r="K136" s="11" t="inlineStr">
        <x:is>
          <x:t xml:space="preserve">L1 Identity Support</x:t>
        </x:is>
      </x:c>
      <x:c r="L136" s="10" t="inlineStr">
        <x:is>
          <x:t xml:space="preserve">Agent C</x:t>
        </x:is>
      </x:c>
      <x:c r="M136" s="12" t="n">
        <x:v>131</x:v>
      </x:c>
      <x:c r="N136" s="45" t="n">
        <x:v>19.1</x:v>
      </x:c>
      <x:c r="O136" s="12">
        <x:f>XLOOKUP(I136,SLA_Rules!$A$4:$A$7,SLA_Rules!$B$4:$B$7,"")</x:f>
        <x:v>24</x:v>
      </x:c>
      <x:c r="P136" s="12" t="str">
        <x:f>IF(J136&lt;&gt;"Resolved","Pending",IF(N136&lt;=O136,"Yes","No"))</x:f>
        <x:v>Yes</x:v>
      </x:c>
      <x:c r="Q136" s="10" t="inlineStr">
        <x:is>
          <x:t xml:space="preserve">No</x:t>
        </x:is>
      </x:c>
      <x:c r="R136" s="12" t="n">
        <x:v>5</x:v>
      </x:c>
      <x:c r="S136" s="11" t="inlineStr">
        <x:is>
          <x:t xml:space="preserve">User error</x:t>
        </x:is>
      </x:c>
      <x:c r="T136" s="5" t="inlineStr">
        <x:is>
          <x:t xml:space="preserve">Remapped device/driver and confirmed successful test output.</x:t>
        </x:is>
      </x:c>
      <x:c r="U136" s="44" t="n">
        <x:v>46089.7875</x:v>
      </x:c>
    </x:row>
    <x:row r="137">
      <x:c r="A137" s="8" t="inlineStr">
        <x:is>
          <x:t xml:space="preserve">INC-202603-0136</x:t>
        </x:is>
      </x:c>
      <x:c r="B137" s="44" t="n">
        <x:v>46083.51944444444</x:v>
      </x:c>
      <x:c r="C137" s="10" t="inlineStr">
        <x:is>
          <x:t xml:space="preserve">US</x:t>
        </x:is>
      </x:c>
      <x:c r="D137" s="8" t="inlineStr">
        <x:is>
          <x:t xml:space="preserve">User 136</x:t>
        </x:is>
      </x:c>
      <x:c r="E137" s="11" t="inlineStr">
        <x:is>
          <x:t xml:space="preserve">Audit</x:t>
        </x:is>
      </x:c>
      <x:c r="F137" s="10" t="inlineStr">
        <x:is>
          <x:t xml:space="preserve">Chat</x:t>
        </x:is>
      </x:c>
      <x:c r="G137" s="11" t="inlineStr">
        <x:is>
          <x:t xml:space="preserve">Email &amp; Outlook</x:t>
        </x:is>
      </x:c>
      <x:c r="H137" s="11" t="inlineStr">
        <x:is>
          <x:t xml:space="preserve">Outlook not opening</x:t>
        </x:is>
      </x:c>
      <x:c r="I137" s="10" t="inlineStr">
        <x:is>
          <x:t xml:space="preserve">Medium</x:t>
        </x:is>
      </x:c>
      <x:c r="J137" s="10" t="inlineStr">
        <x:is>
          <x:t xml:space="preserve">Resolved</x:t>
        </x:is>
      </x:c>
      <x:c r="K137" s="11" t="inlineStr">
        <x:is>
          <x:t xml:space="preserve">L1 Identity Support</x:t>
        </x:is>
      </x:c>
      <x:c r="L137" s="10" t="inlineStr">
        <x:is>
          <x:t xml:space="preserve">Agent F</x:t>
        </x:is>
      </x:c>
      <x:c r="M137" s="12" t="n">
        <x:v>19</x:v>
      </x:c>
      <x:c r="N137" s="45" t="n">
        <x:v>5.2</x:v>
      </x:c>
      <x:c r="O137" s="12">
        <x:f>XLOOKUP(I137,SLA_Rules!$A$4:$A$7,SLA_Rules!$B$4:$B$7,"")</x:f>
        <x:v>16</x:v>
      </x:c>
      <x:c r="P137" s="12" t="str">
        <x:f>IF(J137&lt;&gt;"Resolved","Pending",IF(N137&lt;=O137,"Yes","No"))</x:f>
        <x:v>Yes</x:v>
      </x:c>
      <x:c r="Q137" s="10" t="inlineStr">
        <x:is>
          <x:t xml:space="preserve">No</x:t>
        </x:is>
      </x:c>
      <x:c r="R137" s="12" t="n">
        <x:v>4</x:v>
      </x:c>
      <x:c r="S137" s="11" t="inlineStr">
        <x:is>
          <x:t xml:space="preserve">Expired password</x:t>
        </x:is>
      </x:c>
      <x:c r="T137" s="5" t="inlineStr">
        <x:is>
          <x:t xml:space="preserve">Cleared profile/cache and validated mailbox connectivity with user.</x:t>
        </x:is>
      </x:c>
      <x:c r="U137" s="44" t="n">
        <x:v>46083.73611111111</x:v>
      </x:c>
    </x:row>
    <x:row r="138">
      <x:c r="A138" s="8" t="inlineStr">
        <x:is>
          <x:t xml:space="preserve">INC-202603-0137</x:t>
        </x:is>
      </x:c>
      <x:c r="B138" s="44" t="n">
        <x:v>46103.67638888889</x:v>
      </x:c>
      <x:c r="C138" s="10" t="inlineStr">
        <x:is>
          <x:t xml:space="preserve">UK</x:t>
        </x:is>
      </x:c>
      <x:c r="D138" s="8" t="inlineStr">
        <x:is>
          <x:t xml:space="preserve">User 137</x:t>
        </x:is>
      </x:c>
      <x:c r="E138" s="11" t="inlineStr">
        <x:is>
          <x:t xml:space="preserve">Risk Advisory</x:t>
        </x:is>
      </x:c>
      <x:c r="F138" s="10" t="inlineStr">
        <x:is>
          <x:t xml:space="preserve">Chat</x:t>
        </x:is>
      </x:c>
      <x:c r="G138" s="11" t="inlineStr">
        <x:is>
          <x:t xml:space="preserve">Email &amp; Outlook</x:t>
        </x:is>
      </x:c>
      <x:c r="H138" s="11" t="inlineStr">
        <x:is>
          <x:t xml:space="preserve">Search not working</x:t>
        </x:is>
      </x:c>
      <x:c r="I138" s="10" t="inlineStr">
        <x:is>
          <x:t xml:space="preserve">Low</x:t>
        </x:is>
      </x:c>
      <x:c r="J138" s="10" t="inlineStr">
        <x:is>
          <x:t xml:space="preserve">Resolved</x:t>
        </x:is>
      </x:c>
      <x:c r="K138" s="11" t="inlineStr">
        <x:is>
          <x:t xml:space="preserve">L1 Messaging Support</x:t>
        </x:is>
      </x:c>
      <x:c r="L138" s="10" t="inlineStr">
        <x:is>
          <x:t xml:space="preserve">Agent B</x:t>
        </x:is>
      </x:c>
      <x:c r="M138" s="12" t="n">
        <x:v>68</x:v>
      </x:c>
      <x:c r="N138" s="45" t="n">
        <x:v>8.9</x:v>
      </x:c>
      <x:c r="O138" s="12">
        <x:f>XLOOKUP(I138,SLA_Rules!$A$4:$A$7,SLA_Rules!$B$4:$B$7,"")</x:f>
        <x:v>24</x:v>
      </x:c>
      <x:c r="P138" s="12" t="str">
        <x:f>IF(J138&lt;&gt;"Resolved","Pending",IF(N138&lt;=O138,"Yes","No"))</x:f>
        <x:v>Yes</x:v>
      </x:c>
      <x:c r="Q138" s="10" t="inlineStr">
        <x:is>
          <x:t xml:space="preserve">No</x:t>
        </x:is>
      </x:c>
      <x:c r="R138" s="12" t="n">
        <x:v>5</x:v>
      </x:c>
      <x:c r="S138" s="11" t="inlineStr">
        <x:is>
          <x:t xml:space="preserve">Pending update</x:t>
        </x:is>
      </x:c>
      <x:c r="T138" s="5" t="inlineStr">
        <x:is>
          <x:t xml:space="preserve">Cleared profile/cache and validated mailbox connectivity with user.</x:t>
        </x:is>
      </x:c>
      <x:c r="U138" s="44" t="n">
        <x:v>46104.04722222222</x:v>
      </x:c>
    </x:row>
    <x:row r="139">
      <x:c r="A139" s="8" t="inlineStr">
        <x:is>
          <x:t xml:space="preserve">INC-202603-0138</x:t>
        </x:is>
      </x:c>
      <x:c r="B139" s="44" t="n">
        <x:v>46086.39166666667</x:v>
      </x:c>
      <x:c r="C139" s="10" t="inlineStr">
        <x:is>
          <x:t xml:space="preserve">UK</x:t>
        </x:is>
      </x:c>
      <x:c r="D139" s="8" t="inlineStr">
        <x:is>
          <x:t xml:space="preserve">User 138</x:t>
        </x:is>
      </x:c>
      <x:c r="E139" s="11" t="inlineStr">
        <x:is>
          <x:t xml:space="preserve">Finance</x:t>
        </x:is>
      </x:c>
      <x:c r="F139" s="10" t="inlineStr">
        <x:is>
          <x:t xml:space="preserve">Chat</x:t>
        </x:is>
      </x:c>
      <x:c r="G139" s="11" t="inlineStr">
        <x:is>
          <x:t xml:space="preserve">Network &amp; VPN</x:t>
        </x:is>
      </x:c>
      <x:c r="H139" s="11" t="inlineStr">
        <x:is>
          <x:t xml:space="preserve">VPN not connecting</x:t>
        </x:is>
      </x:c>
      <x:c r="I139" s="10" t="inlineStr">
        <x:is>
          <x:t xml:space="preserve">Critical</x:t>
        </x:is>
      </x:c>
      <x:c r="J139" s="10" t="inlineStr">
        <x:is>
          <x:t xml:space="preserve">Open</x:t>
        </x:is>
      </x:c>
      <x:c r="K139" s="11" t="inlineStr">
        <x:is>
          <x:t xml:space="preserve">L1 Endpoint Support</x:t>
        </x:is>
      </x:c>
      <x:c r="L139" s="10" t="inlineStr">
        <x:is>
          <x:t xml:space="preserve">Agent D</x:t>
        </x:is>
      </x:c>
      <x:c r="M139" s="12" t="n">
        <x:v>9</x:v>
      </x:c>
      <x:c r="N139" s="12" t="n"/>
      <x:c r="O139" s="12">
        <x:f>XLOOKUP(I139,SLA_Rules!$A$4:$A$7,SLA_Rules!$B$4:$B$7,"")</x:f>
        <x:v>4</x:v>
      </x:c>
      <x:c r="P139" s="12" t="str">
        <x:f>IF(J139&lt;&gt;"Resolved","Pending",IF(N139&lt;=O139,"Yes","No"))</x:f>
        <x:v>Pending</x:v>
      </x:c>
      <x:c r="Q139" s="10" t="inlineStr">
        <x:is>
          <x:t xml:space="preserve">No</x:t>
        </x:is>
      </x:c>
      <x:c r="R139" s="12" t="n"/>
      <x:c r="S139" s="11" t="inlineStr">
        <x:is>
          <x:t xml:space="preserve">Network instability</x:t>
        </x:is>
      </x:c>
      <x:c r="T139" s="5" t="inlineStr">
        <x:is>
          <x:t xml:space="preserve">Checked connectivity path, reconfigured VPN settings, and confirmed stable access.</x:t>
        </x:is>
      </x:c>
      <x:c r="U139" s="8" t="n"/>
    </x:row>
    <x:row r="140">
      <x:c r="A140" s="8" t="inlineStr">
        <x:is>
          <x:t xml:space="preserve">INC-202603-0139</x:t>
        </x:is>
      </x:c>
      <x:c r="B140" s="44" t="n">
        <x:v>46090.26458333333</x:v>
      </x:c>
      <x:c r="C140" s="10" t="inlineStr">
        <x:is>
          <x:t xml:space="preserve">US</x:t>
        </x:is>
      </x:c>
      <x:c r="D140" s="8" t="inlineStr">
        <x:is>
          <x:t xml:space="preserve">User 139</x:t>
        </x:is>
      </x:c>
      <x:c r="E140" s="11" t="inlineStr">
        <x:is>
          <x:t xml:space="preserve">Consulting</x:t>
        </x:is>
      </x:c>
      <x:c r="F140" s="10" t="inlineStr">
        <x:is>
          <x:t xml:space="preserve">Web Ticket</x:t>
        </x:is>
      </x:c>
      <x:c r="G140" s="11" t="inlineStr">
        <x:is>
          <x:t xml:space="preserve">Email &amp; Outlook</x:t>
        </x:is>
      </x:c>
      <x:c r="H140" s="11" t="inlineStr">
        <x:is>
          <x:t xml:space="preserve">Mailbox sync delay</x:t>
        </x:is>
      </x:c>
      <x:c r="I140" s="10" t="inlineStr">
        <x:is>
          <x:t xml:space="preserve">Low</x:t>
        </x:is>
      </x:c>
      <x:c r="J140" s="10" t="inlineStr">
        <x:is>
          <x:t xml:space="preserve">Open</x:t>
        </x:is>
      </x:c>
      <x:c r="K140" s="11" t="inlineStr">
        <x:is>
          <x:t xml:space="preserve">L1 Endpoint Support</x:t>
        </x:is>
      </x:c>
      <x:c r="L140" s="10" t="inlineStr">
        <x:is>
          <x:t xml:space="preserve">Agent B</x:t>
        </x:is>
      </x:c>
      <x:c r="M140" s="12" t="n">
        <x:v>56</x:v>
      </x:c>
      <x:c r="N140" s="12" t="n"/>
      <x:c r="O140" s="12">
        <x:f>XLOOKUP(I140,SLA_Rules!$A$4:$A$7,SLA_Rules!$B$4:$B$7,"")</x:f>
        <x:v>24</x:v>
      </x:c>
      <x:c r="P140" s="12" t="str">
        <x:f>IF(J140&lt;&gt;"Resolved","Pending",IF(N140&lt;=O140,"Yes","No"))</x:f>
        <x:v>Pending</x:v>
      </x:c>
      <x:c r="Q140" s="10" t="inlineStr">
        <x:is>
          <x:t xml:space="preserve">No</x:t>
        </x:is>
      </x:c>
      <x:c r="R140" s="12" t="n"/>
      <x:c r="S140" s="11" t="inlineStr">
        <x:is>
          <x:t xml:space="preserve">Application cache</x:t>
        </x:is>
      </x:c>
      <x:c r="T140" s="5" t="inlineStr">
        <x:is>
          <x:t xml:space="preserve">Cleared profile/cache and validated mailbox connectivity with user.</x:t>
        </x:is>
      </x:c>
      <x:c r="U140" s="8" t="n"/>
    </x:row>
    <x:row r="141">
      <x:c r="A141" s="8" t="inlineStr">
        <x:is>
          <x:t xml:space="preserve">INC-202603-0140</x:t>
        </x:is>
      </x:c>
      <x:c r="B141" s="44" t="n">
        <x:v>46106.78194444445</x:v>
      </x:c>
      <x:c r="C141" s="10" t="inlineStr">
        <x:is>
          <x:t xml:space="preserve">UK</x:t>
        </x:is>
      </x:c>
      <x:c r="D141" s="8" t="inlineStr">
        <x:is>
          <x:t xml:space="preserve">User 140</x:t>
        </x:is>
      </x:c>
      <x:c r="E141" s="11" t="inlineStr">
        <x:is>
          <x:t xml:space="preserve">Tax</x:t>
        </x:is>
      </x:c>
      <x:c r="F141" s="10" t="inlineStr">
        <x:is>
          <x:t xml:space="preserve">Chat</x:t>
        </x:is>
      </x:c>
      <x:c r="G141" s="11" t="inlineStr">
        <x:is>
          <x:t xml:space="preserve">Login &amp; Access</x:t>
        </x:is>
      </x:c>
      <x:c r="H141" s="11" t="inlineStr">
        <x:is>
          <x:t xml:space="preserve">SSO failure</x:t>
        </x:is>
      </x:c>
      <x:c r="I141" s="10" t="inlineStr">
        <x:is>
          <x:t xml:space="preserve">Critical</x:t>
        </x:is>
      </x:c>
      <x:c r="J141" s="10" t="inlineStr">
        <x:is>
          <x:t xml:space="preserve">Resolved</x:t>
        </x:is>
      </x:c>
      <x:c r="K141" s="11" t="inlineStr">
        <x:is>
          <x:t xml:space="preserve">L1 Global Service Desk</x:t>
        </x:is>
      </x:c>
      <x:c r="L141" s="10" t="inlineStr">
        <x:is>
          <x:t xml:space="preserve">Agent G</x:t>
        </x:is>
      </x:c>
      <x:c r="M141" s="12" t="n">
        <x:v>9</x:v>
      </x:c>
      <x:c r="N141" s="45" t="n">
        <x:v>1.3</x:v>
      </x:c>
      <x:c r="O141" s="12">
        <x:f>XLOOKUP(I141,SLA_Rules!$A$4:$A$7,SLA_Rules!$B$4:$B$7,"")</x:f>
        <x:v>4</x:v>
      </x:c>
      <x:c r="P141" s="12" t="str">
        <x:f>IF(J141&lt;&gt;"Resolved","Pending",IF(N141&lt;=O141,"Yes","No"))</x:f>
        <x:v>Yes</x:v>
      </x:c>
      <x:c r="Q141" s="10" t="inlineStr">
        <x:is>
          <x:t xml:space="preserve">No</x:t>
        </x:is>
      </x:c>
      <x:c r="R141" s="12" t="n">
        <x:v>5</x:v>
      </x:c>
      <x:c r="S141" s="11" t="inlineStr">
        <x:is>
          <x:t xml:space="preserve">User error</x:t>
        </x:is>
      </x:c>
      <x:c r="T141" s="5" t="inlineStr">
        <x:is>
          <x:t xml:space="preserve">Validated identity, restored access path, and confirmed successful login.</x:t>
        </x:is>
      </x:c>
      <x:c r="U141" s="44" t="n">
        <x:v>46106.83611111111</x:v>
      </x:c>
    </x:row>
    <x:row r="142">
      <x:c r="A142" s="8" t="inlineStr">
        <x:is>
          <x:t xml:space="preserve">INC-202603-0141</x:t>
        </x:is>
      </x:c>
      <x:c r="B142" s="44" t="n">
        <x:v>46099.45069444444</x:v>
      </x:c>
      <x:c r="C142" s="10" t="inlineStr">
        <x:is>
          <x:t xml:space="preserve">UK</x:t>
        </x:is>
      </x:c>
      <x:c r="D142" s="8" t="inlineStr">
        <x:is>
          <x:t xml:space="preserve">User 141</x:t>
        </x:is>
      </x:c>
      <x:c r="E142" s="11" t="inlineStr">
        <x:is>
          <x:t xml:space="preserve">Risk Advisory</x:t>
        </x:is>
      </x:c>
      <x:c r="F142" s="10" t="inlineStr">
        <x:is>
          <x:t xml:space="preserve">Web Ticket</x:t>
        </x:is>
      </x:c>
      <x:c r="G142" s="11" t="inlineStr">
        <x:is>
          <x:t xml:space="preserve">Login &amp; Access</x:t>
        </x:is>
      </x:c>
      <x:c r="H142" s="11" t="inlineStr">
        <x:is>
          <x:t xml:space="preserve">SSO failure</x:t>
        </x:is>
      </x:c>
      <x:c r="I142" s="10" t="inlineStr">
        <x:is>
          <x:t xml:space="preserve">Critical</x:t>
        </x:is>
      </x:c>
      <x:c r="J142" s="10" t="inlineStr">
        <x:is>
          <x:t xml:space="preserve">In Progress</x:t>
        </x:is>
      </x:c>
      <x:c r="K142" s="11" t="inlineStr">
        <x:is>
          <x:t xml:space="preserve">L1 Identity Support</x:t>
        </x:is>
      </x:c>
      <x:c r="L142" s="10" t="inlineStr">
        <x:is>
          <x:t xml:space="preserve">Agent B</x:t>
        </x:is>
      </x:c>
      <x:c r="M142" s="12" t="n">
        <x:v>13</x:v>
      </x:c>
      <x:c r="N142" s="12" t="n"/>
      <x:c r="O142" s="12">
        <x:f>XLOOKUP(I142,SLA_Rules!$A$4:$A$7,SLA_Rules!$B$4:$B$7,"")</x:f>
        <x:v>4</x:v>
      </x:c>
      <x:c r="P142" s="12" t="str">
        <x:f>IF(J142&lt;&gt;"Resolved","Pending",IF(N142&lt;=O142,"Yes","No"))</x:f>
        <x:v>Pending</x:v>
      </x:c>
      <x:c r="Q142" s="10" t="inlineStr">
        <x:is>
          <x:t xml:space="preserve">No</x:t>
        </x:is>
      </x:c>
      <x:c r="R142" s="12" t="n"/>
      <x:c r="S142" s="11" t="inlineStr">
        <x:is>
          <x:t xml:space="preserve">Application cache</x:t>
        </x:is>
      </x:c>
      <x:c r="T142" s="5" t="inlineStr">
        <x:is>
          <x:t xml:space="preserve">Validated identity, restored access path, and confirmed successful login.</x:t>
        </x:is>
      </x:c>
      <x:c r="U142" s="8" t="n"/>
    </x:row>
    <x:row r="143">
      <x:c r="A143" s="8" t="inlineStr">
        <x:is>
          <x:t xml:space="preserve">INC-202603-0142</x:t>
        </x:is>
      </x:c>
      <x:c r="B143" s="44" t="n">
        <x:v>46093.43472222222</x:v>
      </x:c>
      <x:c r="C143" s="10" t="inlineStr">
        <x:is>
          <x:t xml:space="preserve">US</x:t>
        </x:is>
      </x:c>
      <x:c r="D143" s="8" t="inlineStr">
        <x:is>
          <x:t xml:space="preserve">User 142</x:t>
        </x:is>
      </x:c>
      <x:c r="E143" s="11" t="inlineStr">
        <x:is>
          <x:t xml:space="preserve">Operations</x:t>
        </x:is>
      </x:c>
      <x:c r="F143" s="10" t="inlineStr">
        <x:is>
          <x:t xml:space="preserve">Chat</x:t>
        </x:is>
      </x:c>
      <x:c r="G143" s="11" t="inlineStr">
        <x:is>
          <x:t xml:space="preserve">Email &amp; Outlook</x:t>
        </x:is>
      </x:c>
      <x:c r="H143" s="11" t="inlineStr">
        <x:is>
          <x:t xml:space="preserve">Attachment blocked</x:t>
        </x:is>
      </x:c>
      <x:c r="I143" s="10" t="inlineStr">
        <x:is>
          <x:t xml:space="preserve">Low</x:t>
        </x:is>
      </x:c>
      <x:c r="J143" s="10" t="inlineStr">
        <x:is>
          <x:t xml:space="preserve">In Progress</x:t>
        </x:is>
      </x:c>
      <x:c r="K143" s="11" t="inlineStr">
        <x:is>
          <x:t xml:space="preserve">L1 Messaging Support</x:t>
        </x:is>
      </x:c>
      <x:c r="L143" s="10" t="inlineStr">
        <x:is>
          <x:t xml:space="preserve">Agent B</x:t>
        </x:is>
      </x:c>
      <x:c r="M143" s="12" t="n">
        <x:v>47</x:v>
      </x:c>
      <x:c r="N143" s="12" t="n"/>
      <x:c r="O143" s="12">
        <x:f>XLOOKUP(I143,SLA_Rules!$A$4:$A$7,SLA_Rules!$B$4:$B$7,"")</x:f>
        <x:v>24</x:v>
      </x:c>
      <x:c r="P143" s="12" t="str">
        <x:f>IF(J143&lt;&gt;"Resolved","Pending",IF(N143&lt;=O143,"Yes","No"))</x:f>
        <x:v>Pending</x:v>
      </x:c>
      <x:c r="Q143" s="10" t="inlineStr">
        <x:is>
          <x:t xml:space="preserve">No</x:t>
        </x:is>
      </x:c>
      <x:c r="R143" s="12" t="n"/>
      <x:c r="S143" s="11" t="inlineStr">
        <x:is>
          <x:t xml:space="preserve">Network instability</x:t>
        </x:is>
      </x:c>
      <x:c r="T143" s="5" t="inlineStr">
        <x:is>
          <x:t xml:space="preserve">Cleared profile/cache and validated mailbox connectivity with user.</x:t>
        </x:is>
      </x:c>
      <x:c r="U143" s="8" t="n"/>
    </x:row>
    <x:row r="144">
      <x:c r="A144" s="8" t="inlineStr">
        <x:is>
          <x:t xml:space="preserve">INC-202603-0143</x:t>
        </x:is>
      </x:c>
      <x:c r="B144" s="44" t="n">
        <x:v>46092.30833333333</x:v>
      </x:c>
      <x:c r="C144" s="10" t="inlineStr">
        <x:is>
          <x:t xml:space="preserve">US</x:t>
        </x:is>
      </x:c>
      <x:c r="D144" s="8" t="inlineStr">
        <x:is>
          <x:t xml:space="preserve">User 143</x:t>
        </x:is>
      </x:c>
      <x:c r="E144" s="11" t="inlineStr">
        <x:is>
          <x:t xml:space="preserve">Internal Services</x:t>
        </x:is>
      </x:c>
      <x:c r="F144" s="10" t="inlineStr">
        <x:is>
          <x:t xml:space="preserve">Chat</x:t>
        </x:is>
      </x:c>
      <x:c r="G144" s="11" t="inlineStr">
        <x:is>
          <x:t xml:space="preserve">Hardware</x:t>
        </x:is>
      </x:c>
      <x:c r="H144" s="11" t="inlineStr">
        <x:is>
          <x:t xml:space="preserve">Laptop slow</x:t>
        </x:is>
      </x:c>
      <x:c r="I144" s="10" t="inlineStr">
        <x:is>
          <x:t xml:space="preserve">Low</x:t>
        </x:is>
      </x:c>
      <x:c r="J144" s="10" t="inlineStr">
        <x:is>
          <x:t xml:space="preserve">Resolved</x:t>
        </x:is>
      </x:c>
      <x:c r="K144" s="11" t="inlineStr">
        <x:is>
          <x:t xml:space="preserve">L1 Identity Support</x:t>
        </x:is>
      </x:c>
      <x:c r="L144" s="10" t="inlineStr">
        <x:is>
          <x:t xml:space="preserve">Agent B</x:t>
        </x:is>
      </x:c>
      <x:c r="M144" s="12" t="n">
        <x:v>110</x:v>
      </x:c>
      <x:c r="N144" s="45" t="n">
        <x:v>8.300000000000001</x:v>
      </x:c>
      <x:c r="O144" s="12">
        <x:f>XLOOKUP(I144,SLA_Rules!$A$4:$A$7,SLA_Rules!$B$4:$B$7,"")</x:f>
        <x:v>24</x:v>
      </x:c>
      <x:c r="P144" s="12" t="str">
        <x:f>IF(J144&lt;&gt;"Resolved","Pending",IF(N144&lt;=O144,"Yes","No"))</x:f>
        <x:v>Yes</x:v>
      </x:c>
      <x:c r="Q144" s="10" t="inlineStr">
        <x:is>
          <x:t xml:space="preserve">No</x:t>
        </x:is>
      </x:c>
      <x:c r="R144" s="12" t="n">
        <x:v>4</x:v>
      </x:c>
      <x:c r="S144" s="11" t="inlineStr">
        <x:is>
          <x:t xml:space="preserve">Permission mismatch</x:t>
        </x:is>
      </x:c>
      <x:c r="T144" s="5" t="inlineStr">
        <x:is>
          <x:t xml:space="preserve">Ran endpoint checks and provided workaround or hardware escalation as needed.</x:t>
        </x:is>
      </x:c>
      <x:c r="U144" s="44" t="n">
        <x:v>46092.65416666667</x:v>
      </x:c>
    </x:row>
    <x:row r="145">
      <x:c r="A145" s="8" t="inlineStr">
        <x:is>
          <x:t xml:space="preserve">INC-202603-0144</x:t>
        </x:is>
      </x:c>
      <x:c r="B145" s="44" t="n">
        <x:v>46102.06458333333</x:v>
      </x:c>
      <x:c r="C145" s="10" t="inlineStr">
        <x:is>
          <x:t xml:space="preserve">UK</x:t>
        </x:is>
      </x:c>
      <x:c r="D145" s="8" t="inlineStr">
        <x:is>
          <x:t xml:space="preserve">User 144</x:t>
        </x:is>
      </x:c>
      <x:c r="E145" s="11" t="inlineStr">
        <x:is>
          <x:t xml:space="preserve">Operations</x:t>
        </x:is>
      </x:c>
      <x:c r="F145" s="10" t="inlineStr">
        <x:is>
          <x:t xml:space="preserve">Phone</x:t>
        </x:is>
      </x:c>
      <x:c r="G145" s="11" t="inlineStr">
        <x:is>
          <x:t xml:space="preserve">Printer &amp; Peripheral</x:t>
        </x:is>
      </x:c>
      <x:c r="H145" s="11" t="inlineStr">
        <x:is>
          <x:t xml:space="preserve">Printer queue stuck</x:t>
        </x:is>
      </x:c>
      <x:c r="I145" s="10" t="inlineStr">
        <x:is>
          <x:t xml:space="preserve">Low</x:t>
        </x:is>
      </x:c>
      <x:c r="J145" s="10" t="inlineStr">
        <x:is>
          <x:t xml:space="preserve">Resolved</x:t>
        </x:is>
      </x:c>
      <x:c r="K145" s="11" t="inlineStr">
        <x:is>
          <x:t xml:space="preserve">L1 Identity Support</x:t>
        </x:is>
      </x:c>
      <x:c r="L145" s="10" t="inlineStr">
        <x:is>
          <x:t xml:space="preserve">Agent E</x:t>
        </x:is>
      </x:c>
      <x:c r="M145" s="12" t="n">
        <x:v>36</x:v>
      </x:c>
      <x:c r="N145" s="45" t="n">
        <x:v>19.9</x:v>
      </x:c>
      <x:c r="O145" s="12">
        <x:f>XLOOKUP(I145,SLA_Rules!$A$4:$A$7,SLA_Rules!$B$4:$B$7,"")</x:f>
        <x:v>24</x:v>
      </x:c>
      <x:c r="P145" s="12" t="str">
        <x:f>IF(J145&lt;&gt;"Resolved","Pending",IF(N145&lt;=O145,"Yes","No"))</x:f>
        <x:v>Yes</x:v>
      </x:c>
      <x:c r="Q145" s="10" t="inlineStr">
        <x:is>
          <x:t xml:space="preserve">No</x:t>
        </x:is>
      </x:c>
      <x:c r="R145" s="12" t="n">
        <x:v>5</x:v>
      </x:c>
      <x:c r="S145" s="11" t="inlineStr">
        <x:is>
          <x:t xml:space="preserve">Pending update</x:t>
        </x:is>
      </x:c>
      <x:c r="T145" s="5" t="inlineStr">
        <x:is>
          <x:t xml:space="preserve">Remapped device/driver and confirmed successful test output.</x:t>
        </x:is>
      </x:c>
      <x:c r="U145" s="44" t="n">
        <x:v>46102.89375</x:v>
      </x:c>
    </x:row>
    <x:row r="146">
      <x:c r="A146" s="8" t="inlineStr">
        <x:is>
          <x:t xml:space="preserve">INC-202603-0145</x:t>
        </x:is>
      </x:c>
      <x:c r="B146" s="44" t="n">
        <x:v>46102.91597222222</x:v>
      </x:c>
      <x:c r="C146" s="10" t="inlineStr">
        <x:is>
          <x:t xml:space="preserve">India</x:t>
        </x:is>
      </x:c>
      <x:c r="D146" s="8" t="inlineStr">
        <x:is>
          <x:t xml:space="preserve">User 145</x:t>
        </x:is>
      </x:c>
      <x:c r="E146" s="11" t="inlineStr">
        <x:is>
          <x:t xml:space="preserve">Finance</x:t>
        </x:is>
      </x:c>
      <x:c r="F146" s="10" t="inlineStr">
        <x:is>
          <x:t xml:space="preserve">Email</x:t>
        </x:is>
      </x:c>
      <x:c r="G146" s="11" t="inlineStr">
        <x:is>
          <x:t xml:space="preserve">Login &amp; Access</x:t>
        </x:is>
      </x:c>
      <x:c r="H146" s="11" t="inlineStr">
        <x:is>
          <x:t xml:space="preserve">SSO failure</x:t>
        </x:is>
      </x:c>
      <x:c r="I146" s="10" t="inlineStr">
        <x:is>
          <x:t xml:space="preserve">Critical</x:t>
        </x:is>
      </x:c>
      <x:c r="J146" s="10" t="inlineStr">
        <x:is>
          <x:t xml:space="preserve">In Progress</x:t>
        </x:is>
      </x:c>
      <x:c r="K146" s="11" t="inlineStr">
        <x:is>
          <x:t xml:space="preserve">L1 Global Service Desk</x:t>
        </x:is>
      </x:c>
      <x:c r="L146" s="10" t="inlineStr">
        <x:is>
          <x:t xml:space="preserve">Agent E</x:t>
        </x:is>
      </x:c>
      <x:c r="M146" s="12" t="n">
        <x:v>23</x:v>
      </x:c>
      <x:c r="N146" s="12" t="n"/>
      <x:c r="O146" s="12">
        <x:f>XLOOKUP(I146,SLA_Rules!$A$4:$A$7,SLA_Rules!$B$4:$B$7,"")</x:f>
        <x:v>4</x:v>
      </x:c>
      <x:c r="P146" s="12" t="str">
        <x:f>IF(J146&lt;&gt;"Resolved","Pending",IF(N146&lt;=O146,"Yes","No"))</x:f>
        <x:v>Pending</x:v>
      </x:c>
      <x:c r="Q146" s="10" t="inlineStr">
        <x:is>
          <x:t xml:space="preserve">No</x:t>
        </x:is>
      </x:c>
      <x:c r="R146" s="12" t="n"/>
      <x:c r="S146" s="11" t="inlineStr">
        <x:is>
          <x:t xml:space="preserve">User error</x:t>
        </x:is>
      </x:c>
      <x:c r="T146" s="5" t="inlineStr">
        <x:is>
          <x:t xml:space="preserve">Validated identity, restored access path, and confirmed successful login.</x:t>
        </x:is>
      </x:c>
      <x:c r="U146" s="8" t="n"/>
    </x:row>
    <x:row r="147">
      <x:c r="A147" s="8" t="inlineStr">
        <x:is>
          <x:t xml:space="preserve">INC-202603-0146</x:t>
        </x:is>
      </x:c>
      <x:c r="B147" s="44" t="n">
        <x:v>46108.94652777778</x:v>
      </x:c>
      <x:c r="C147" s="10" t="inlineStr">
        <x:is>
          <x:t xml:space="preserve">US</x:t>
        </x:is>
      </x:c>
      <x:c r="D147" s="8" t="inlineStr">
        <x:is>
          <x:t xml:space="preserve">User 146</x:t>
        </x:is>
      </x:c>
      <x:c r="E147" s="11" t="inlineStr">
        <x:is>
          <x:t xml:space="preserve">Internal Services</x:t>
        </x:is>
      </x:c>
      <x:c r="F147" s="10" t="inlineStr">
        <x:is>
          <x:t xml:space="preserve">Phone</x:t>
        </x:is>
      </x:c>
      <x:c r="G147" s="11" t="inlineStr">
        <x:is>
          <x:t xml:space="preserve">Login &amp; Access</x:t>
        </x:is>
      </x:c>
      <x:c r="H147" s="11" t="inlineStr">
        <x:is>
          <x:t xml:space="preserve">Shared drive permission</x:t>
        </x:is>
      </x:c>
      <x:c r="I147" s="10" t="inlineStr">
        <x:is>
          <x:t xml:space="preserve">High</x:t>
        </x:is>
      </x:c>
      <x:c r="J147" s="10" t="inlineStr">
        <x:is>
          <x:t xml:space="preserve">Resolved</x:t>
        </x:is>
      </x:c>
      <x:c r="K147" s="11" t="inlineStr">
        <x:is>
          <x:t xml:space="preserve">L1 Global Service Desk</x:t>
        </x:is>
      </x:c>
      <x:c r="L147" s="10" t="inlineStr">
        <x:is>
          <x:t xml:space="preserve">Agent E</x:t>
        </x:is>
      </x:c>
      <x:c r="M147" s="12" t="n">
        <x:v>17</x:v>
      </x:c>
      <x:c r="N147" s="45" t="n">
        <x:v>7.2</x:v>
      </x:c>
      <x:c r="O147" s="12">
        <x:f>XLOOKUP(I147,SLA_Rules!$A$4:$A$7,SLA_Rules!$B$4:$B$7,"")</x:f>
        <x:v>8</x:v>
      </x:c>
      <x:c r="P147" s="12" t="str">
        <x:f>IF(J147&lt;&gt;"Resolved","Pending",IF(N147&lt;=O147,"Yes","No"))</x:f>
        <x:v>Yes</x:v>
      </x:c>
      <x:c r="Q147" s="10" t="inlineStr">
        <x:is>
          <x:t xml:space="preserve">No</x:t>
        </x:is>
      </x:c>
      <x:c r="R147" s="12" t="n">
        <x:v>4</x:v>
      </x:c>
      <x:c r="S147" s="11" t="inlineStr">
        <x:is>
          <x:t xml:space="preserve">Configuration drift</x:t>
        </x:is>
      </x:c>
      <x:c r="T147" s="5" t="inlineStr">
        <x:is>
          <x:t xml:space="preserve">Validated identity, restored access path, and confirmed successful login.</x:t>
        </x:is>
      </x:c>
      <x:c r="U147" s="44" t="n">
        <x:v>46109.24652777778</x:v>
      </x:c>
    </x:row>
    <x:row r="148">
      <x:c r="A148" s="8" t="inlineStr">
        <x:is>
          <x:t xml:space="preserve">INC-202603-0147</x:t>
        </x:is>
      </x:c>
      <x:c r="B148" s="44" t="n">
        <x:v>46096.76041666666</x:v>
      </x:c>
      <x:c r="C148" s="10" t="inlineStr">
        <x:is>
          <x:t xml:space="preserve">US</x:t>
        </x:is>
      </x:c>
      <x:c r="D148" s="8" t="inlineStr">
        <x:is>
          <x:t xml:space="preserve">User 147</x:t>
        </x:is>
      </x:c>
      <x:c r="E148" s="11" t="inlineStr">
        <x:is>
          <x:t xml:space="preserve">Tax</x:t>
        </x:is>
      </x:c>
      <x:c r="F148" s="10" t="inlineStr">
        <x:is>
          <x:t xml:space="preserve">Chat</x:t>
        </x:is>
      </x:c>
      <x:c r="G148" s="11" t="inlineStr">
        <x:is>
          <x:t xml:space="preserve">Email &amp; Outlook</x:t>
        </x:is>
      </x:c>
      <x:c r="H148" s="11" t="inlineStr">
        <x:is>
          <x:t xml:space="preserve">Search not working</x:t>
        </x:is>
      </x:c>
      <x:c r="I148" s="10" t="inlineStr">
        <x:is>
          <x:t xml:space="preserve">Low</x:t>
        </x:is>
      </x:c>
      <x:c r="J148" s="10" t="inlineStr">
        <x:is>
          <x:t xml:space="preserve">Resolved</x:t>
        </x:is>
      </x:c>
      <x:c r="K148" s="11" t="inlineStr">
        <x:is>
          <x:t xml:space="preserve">L1 Messaging Support</x:t>
        </x:is>
      </x:c>
      <x:c r="L148" s="10" t="inlineStr">
        <x:is>
          <x:t xml:space="preserve">Agent D</x:t>
        </x:is>
      </x:c>
      <x:c r="M148" s="12" t="n">
        <x:v>44</x:v>
      </x:c>
      <x:c r="N148" s="45" t="n">
        <x:v>28.8</x:v>
      </x:c>
      <x:c r="O148" s="12">
        <x:f>XLOOKUP(I148,SLA_Rules!$A$4:$A$7,SLA_Rules!$B$4:$B$7,"")</x:f>
        <x:v>24</x:v>
      </x:c>
      <x:c r="P148" s="12" t="str">
        <x:f>IF(J148&lt;&gt;"Resolved","Pending",IF(N148&lt;=O148,"Yes","No"))</x:f>
        <x:v>No</x:v>
      </x:c>
      <x:c r="Q148" s="10" t="inlineStr">
        <x:is>
          <x:t xml:space="preserve">Yes</x:t>
        </x:is>
      </x:c>
      <x:c r="R148" s="12" t="n">
        <x:v>4</x:v>
      </x:c>
      <x:c r="S148" s="11" t="inlineStr">
        <x:is>
          <x:t xml:space="preserve">User error</x:t>
        </x:is>
      </x:c>
      <x:c r="T148" s="5" t="inlineStr">
        <x:is>
          <x:t xml:space="preserve">Cleared profile/cache and validated mailbox connectivity with user.</x:t>
        </x:is>
      </x:c>
      <x:c r="U148" s="44" t="n">
        <x:v>46097.96041666667</x:v>
      </x:c>
    </x:row>
    <x:row r="149">
      <x:c r="A149" s="8" t="inlineStr">
        <x:is>
          <x:t xml:space="preserve">INC-202603-0148</x:t>
        </x:is>
      </x:c>
      <x:c r="B149" s="44" t="n">
        <x:v>46109.57013888889</x:v>
      </x:c>
      <x:c r="C149" s="10" t="inlineStr">
        <x:is>
          <x:t xml:space="preserve">India</x:t>
        </x:is>
      </x:c>
      <x:c r="D149" s="8" t="inlineStr">
        <x:is>
          <x:t xml:space="preserve">User 148</x:t>
        </x:is>
      </x:c>
      <x:c r="E149" s="11" t="inlineStr">
        <x:is>
          <x:t xml:space="preserve">Consulting</x:t>
        </x:is>
      </x:c>
      <x:c r="F149" s="10" t="inlineStr">
        <x:is>
          <x:t xml:space="preserve">Phone</x:t>
        </x:is>
      </x:c>
      <x:c r="G149" s="11" t="inlineStr">
        <x:is>
          <x:t xml:space="preserve">Login &amp; Access</x:t>
        </x:is>
      </x:c>
      <x:c r="H149" s="11" t="inlineStr">
        <x:is>
          <x:t xml:space="preserve">Access denied</x:t>
        </x:is>
      </x:c>
      <x:c r="I149" s="10" t="inlineStr">
        <x:is>
          <x:t xml:space="preserve">High</x:t>
        </x:is>
      </x:c>
      <x:c r="J149" s="10" t="inlineStr">
        <x:is>
          <x:t xml:space="preserve">Resolved</x:t>
        </x:is>
      </x:c>
      <x:c r="K149" s="11" t="inlineStr">
        <x:is>
          <x:t xml:space="preserve">L1 Global Service Desk</x:t>
        </x:is>
      </x:c>
      <x:c r="L149" s="10" t="inlineStr">
        <x:is>
          <x:t xml:space="preserve">Agent D</x:t>
        </x:is>
      </x:c>
      <x:c r="M149" s="12" t="n">
        <x:v>12</x:v>
      </x:c>
      <x:c r="N149" s="45" t="n">
        <x:v>4.8</x:v>
      </x:c>
      <x:c r="O149" s="12">
        <x:f>XLOOKUP(I149,SLA_Rules!$A$4:$A$7,SLA_Rules!$B$4:$B$7,"")</x:f>
        <x:v>8</x:v>
      </x:c>
      <x:c r="P149" s="12" t="str">
        <x:f>IF(J149&lt;&gt;"Resolved","Pending",IF(N149&lt;=O149,"Yes","No"))</x:f>
        <x:v>Yes</x:v>
      </x:c>
      <x:c r="Q149" s="10" t="inlineStr">
        <x:is>
          <x:t xml:space="preserve">No</x:t>
        </x:is>
      </x:c>
      <x:c r="R149" s="12" t="n">
        <x:v>5</x:v>
      </x:c>
      <x:c r="S149" s="11" t="inlineStr">
        <x:is>
          <x:t xml:space="preserve">Network instability</x:t>
        </x:is>
      </x:c>
      <x:c r="T149" s="5" t="inlineStr">
        <x:is>
          <x:t xml:space="preserve">Validated identity, restored access path, and confirmed successful login.</x:t>
        </x:is>
      </x:c>
      <x:c r="U149" s="44" t="n">
        <x:v>46109.77013888889</x:v>
      </x:c>
    </x:row>
    <x:row r="150">
      <x:c r="A150" s="8" t="inlineStr">
        <x:is>
          <x:t xml:space="preserve">INC-202603-0149</x:t>
        </x:is>
      </x:c>
      <x:c r="B150" s="44" t="n">
        <x:v>46111.41736111111</x:v>
      </x:c>
      <x:c r="C150" s="10" t="inlineStr">
        <x:is>
          <x:t xml:space="preserve">APAC</x:t>
        </x:is>
      </x:c>
      <x:c r="D150" s="8" t="inlineStr">
        <x:is>
          <x:t xml:space="preserve">User 149</x:t>
        </x:is>
      </x:c>
      <x:c r="E150" s="11" t="inlineStr">
        <x:is>
          <x:t xml:space="preserve">Internal Services</x:t>
        </x:is>
      </x:c>
      <x:c r="F150" s="10" t="inlineStr">
        <x:is>
          <x:t xml:space="preserve">Chat</x:t>
        </x:is>
      </x:c>
      <x:c r="G150" s="11" t="inlineStr">
        <x:is>
          <x:t xml:space="preserve">Login &amp; Access</x:t>
        </x:is>
      </x:c>
      <x:c r="H150" s="11" t="inlineStr">
        <x:is>
          <x:t xml:space="preserve">Shared drive permission</x:t>
        </x:is>
      </x:c>
      <x:c r="I150" s="10" t="inlineStr">
        <x:is>
          <x:t xml:space="preserve">High</x:t>
        </x:is>
      </x:c>
      <x:c r="J150" s="10" t="inlineStr">
        <x:is>
          <x:t xml:space="preserve">Resolved</x:t>
        </x:is>
      </x:c>
      <x:c r="K150" s="11" t="inlineStr">
        <x:is>
          <x:t xml:space="preserve">L1 Global Service Desk</x:t>
        </x:is>
      </x:c>
      <x:c r="L150" s="10" t="inlineStr">
        <x:is>
          <x:t xml:space="preserve">Agent B</x:t>
        </x:is>
      </x:c>
      <x:c r="M150" s="12" t="n">
        <x:v>31</x:v>
      </x:c>
      <x:c r="N150" s="45" t="n">
        <x:v>8.9</x:v>
      </x:c>
      <x:c r="O150" s="12">
        <x:f>XLOOKUP(I150,SLA_Rules!$A$4:$A$7,SLA_Rules!$B$4:$B$7,"")</x:f>
        <x:v>8</x:v>
      </x:c>
      <x:c r="P150" s="12" t="str">
        <x:f>IF(J150&lt;&gt;"Resolved","Pending",IF(N150&lt;=O150,"Yes","No"))</x:f>
        <x:v>No</x:v>
      </x:c>
      <x:c r="Q150" s="10" t="inlineStr">
        <x:is>
          <x:t xml:space="preserve">Yes</x:t>
        </x:is>
      </x:c>
      <x:c r="R150" s="12" t="n">
        <x:v>5</x:v>
      </x:c>
      <x:c r="S150" s="11" t="inlineStr">
        <x:is>
          <x:t xml:space="preserve">Expired password</x:t>
        </x:is>
      </x:c>
      <x:c r="T150" s="5" t="inlineStr">
        <x:is>
          <x:t xml:space="preserve">Validated identity, restored access path, and confirmed successful login.</x:t>
        </x:is>
      </x:c>
      <x:c r="U150" s="44" t="n">
        <x:v>46111.78819444445</x:v>
      </x:c>
    </x:row>
    <x:row r="151">
      <x:c r="A151" s="8" t="inlineStr">
        <x:is>
          <x:t xml:space="preserve">INC-202603-0150</x:t>
        </x:is>
      </x:c>
      <x:c r="B151" s="44" t="n">
        <x:v>46105.20138888889</x:v>
      </x:c>
      <x:c r="C151" s="10" t="inlineStr">
        <x:is>
          <x:t xml:space="preserve">US</x:t>
        </x:is>
      </x:c>
      <x:c r="D151" s="8" t="inlineStr">
        <x:is>
          <x:t xml:space="preserve">User 150</x:t>
        </x:is>
      </x:c>
      <x:c r="E151" s="11" t="inlineStr">
        <x:is>
          <x:t xml:space="preserve">Finance</x:t>
        </x:is>
      </x:c>
      <x:c r="F151" s="10" t="inlineStr">
        <x:is>
          <x:t xml:space="preserve">Web Ticket</x:t>
        </x:is>
      </x:c>
      <x:c r="G151" s="11" t="inlineStr">
        <x:is>
          <x:t xml:space="preserve">Login &amp; Access</x:t>
        </x:is>
      </x:c>
      <x:c r="H151" s="11" t="inlineStr">
        <x:is>
          <x:t xml:space="preserve">SSO failure</x:t>
        </x:is>
      </x:c>
      <x:c r="I151" s="10" t="inlineStr">
        <x:is>
          <x:t xml:space="preserve">High</x:t>
        </x:is>
      </x:c>
      <x:c r="J151" s="10" t="inlineStr">
        <x:is>
          <x:t xml:space="preserve">In Progress</x:t>
        </x:is>
      </x:c>
      <x:c r="K151" s="11" t="inlineStr">
        <x:is>
          <x:t xml:space="preserve">L1 Identity Support</x:t>
        </x:is>
      </x:c>
      <x:c r="L151" s="10" t="inlineStr">
        <x:is>
          <x:t xml:space="preserve">Agent G</x:t>
        </x:is>
      </x:c>
      <x:c r="M151" s="12" t="n">
        <x:v>14</x:v>
      </x:c>
      <x:c r="N151" s="12" t="n"/>
      <x:c r="O151" s="12">
        <x:f>XLOOKUP(I151,SLA_Rules!$A$4:$A$7,SLA_Rules!$B$4:$B$7,"")</x:f>
        <x:v>8</x:v>
      </x:c>
      <x:c r="P151" s="12" t="str">
        <x:f>IF(J151&lt;&gt;"Resolved","Pending",IF(N151&lt;=O151,"Yes","No"))</x:f>
        <x:v>Pending</x:v>
      </x:c>
      <x:c r="Q151" s="10" t="inlineStr">
        <x:is>
          <x:t xml:space="preserve">No</x:t>
        </x:is>
      </x:c>
      <x:c r="R151" s="12" t="n"/>
      <x:c r="S151" s="11" t="inlineStr">
        <x:is>
          <x:t xml:space="preserve">User error</x:t>
        </x:is>
      </x:c>
      <x:c r="T151" s="5" t="inlineStr">
        <x:is>
          <x:t xml:space="preserve">Validated identity, restored access path, and confirmed successful login.</x:t>
        </x:is>
      </x:c>
      <x:c r="U151" s="8" t="n"/>
    </x:row>
    <x:row r="152">
      <x:c r="A152" s="8" t="inlineStr">
        <x:is>
          <x:t xml:space="preserve">INC-202603-0151</x:t>
        </x:is>
      </x:c>
      <x:c r="B152" s="44" t="n">
        <x:v>46102.36805555555</x:v>
      </x:c>
      <x:c r="C152" s="10" t="inlineStr">
        <x:is>
          <x:t xml:space="preserve">UK</x:t>
        </x:is>
      </x:c>
      <x:c r="D152" s="8" t="inlineStr">
        <x:is>
          <x:t xml:space="preserve">User 151</x:t>
        </x:is>
      </x:c>
      <x:c r="E152" s="11" t="inlineStr">
        <x:is>
          <x:t xml:space="preserve">HR</x:t>
        </x:is>
      </x:c>
      <x:c r="F152" s="10" t="inlineStr">
        <x:is>
          <x:t xml:space="preserve">Web Ticket</x:t>
        </x:is>
      </x:c>
      <x:c r="G152" s="11" t="inlineStr">
        <x:is>
          <x:t xml:space="preserve">Login &amp; Access</x:t>
        </x:is>
      </x:c>
      <x:c r="H152" s="11" t="inlineStr">
        <x:is>
          <x:t xml:space="preserve">SSO failure</x:t>
        </x:is>
      </x:c>
      <x:c r="I152" s="10" t="inlineStr">
        <x:is>
          <x:t xml:space="preserve">Critical</x:t>
        </x:is>
      </x:c>
      <x:c r="J152" s="10" t="inlineStr">
        <x:is>
          <x:t xml:space="preserve">Resolved</x:t>
        </x:is>
      </x:c>
      <x:c r="K152" s="11" t="inlineStr">
        <x:is>
          <x:t xml:space="preserve">L1 Identity Support</x:t>
        </x:is>
      </x:c>
      <x:c r="L152" s="10" t="inlineStr">
        <x:is>
          <x:t xml:space="preserve">Agent A</x:t>
        </x:is>
      </x:c>
      <x:c r="M152" s="12" t="n">
        <x:v>14</x:v>
      </x:c>
      <x:c r="N152" s="45" t="n">
        <x:v>4.8</x:v>
      </x:c>
      <x:c r="O152" s="12">
        <x:f>XLOOKUP(I152,SLA_Rules!$A$4:$A$7,SLA_Rules!$B$4:$B$7,"")</x:f>
        <x:v>4</x:v>
      </x:c>
      <x:c r="P152" s="12" t="str">
        <x:f>IF(J152&lt;&gt;"Resolved","Pending",IF(N152&lt;=O152,"Yes","No"))</x:f>
        <x:v>No</x:v>
      </x:c>
      <x:c r="Q152" s="10" t="inlineStr">
        <x:is>
          <x:t xml:space="preserve">Yes</x:t>
        </x:is>
      </x:c>
      <x:c r="R152" s="12" t="n">
        <x:v>4</x:v>
      </x:c>
      <x:c r="S152" s="11" t="inlineStr">
        <x:is>
          <x:t xml:space="preserve">Pending update</x:t>
        </x:is>
      </x:c>
      <x:c r="T152" s="5" t="inlineStr">
        <x:is>
          <x:t xml:space="preserve">Validated identity, restored access path, and confirmed successful login.</x:t>
        </x:is>
      </x:c>
      <x:c r="U152" s="44" t="n">
        <x:v>46102.56805555556</x:v>
      </x:c>
    </x:row>
    <x:row r="153">
      <x:c r="A153" s="8" t="inlineStr">
        <x:is>
          <x:t xml:space="preserve">INC-202603-0152</x:t>
        </x:is>
      </x:c>
      <x:c r="B153" s="44" t="n">
        <x:v>46086.53125</x:v>
      </x:c>
      <x:c r="C153" s="10" t="inlineStr">
        <x:is>
          <x:t xml:space="preserve">US</x:t>
        </x:is>
      </x:c>
      <x:c r="D153" s="8" t="inlineStr">
        <x:is>
          <x:t xml:space="preserve">User 152</x:t>
        </x:is>
      </x:c>
      <x:c r="E153" s="11" t="inlineStr">
        <x:is>
          <x:t xml:space="preserve">Tax</x:t>
        </x:is>
      </x:c>
      <x:c r="F153" s="10" t="inlineStr">
        <x:is>
          <x:t xml:space="preserve">Chat</x:t>
        </x:is>
      </x:c>
      <x:c r="G153" s="11" t="inlineStr">
        <x:is>
          <x:t xml:space="preserve">Network &amp; VPN</x:t>
        </x:is>
      </x:c>
      <x:c r="H153" s="11" t="inlineStr">
        <x:is>
          <x:t xml:space="preserve">Remote desktop timeout</x:t>
        </x:is>
      </x:c>
      <x:c r="I153" s="10" t="inlineStr">
        <x:is>
          <x:t xml:space="preserve">Medium</x:t>
        </x:is>
      </x:c>
      <x:c r="J153" s="10" t="inlineStr">
        <x:is>
          <x:t xml:space="preserve">Resolved</x:t>
        </x:is>
      </x:c>
      <x:c r="K153" s="11" t="inlineStr">
        <x:is>
          <x:t xml:space="preserve">L1 Global Service Desk</x:t>
        </x:is>
      </x:c>
      <x:c r="L153" s="10" t="inlineStr">
        <x:is>
          <x:t xml:space="preserve">Agent C</x:t>
        </x:is>
      </x:c>
      <x:c r="M153" s="12" t="n">
        <x:v>61</x:v>
      </x:c>
      <x:c r="N153" s="45" t="n">
        <x:v>4.4</x:v>
      </x:c>
      <x:c r="O153" s="12">
        <x:f>XLOOKUP(I153,SLA_Rules!$A$4:$A$7,SLA_Rules!$B$4:$B$7,"")</x:f>
        <x:v>16</x:v>
      </x:c>
      <x:c r="P153" s="12" t="str">
        <x:f>IF(J153&lt;&gt;"Resolved","Pending",IF(N153&lt;=O153,"Yes","No"))</x:f>
        <x:v>Yes</x:v>
      </x:c>
      <x:c r="Q153" s="10" t="inlineStr">
        <x:is>
          <x:t xml:space="preserve">No</x:t>
        </x:is>
      </x:c>
      <x:c r="R153" s="12" t="n">
        <x:v>4</x:v>
      </x:c>
      <x:c r="S153" s="11" t="inlineStr">
        <x:is>
          <x:t xml:space="preserve">Credential issue</x:t>
        </x:is>
      </x:c>
      <x:c r="T153" s="5" t="inlineStr">
        <x:is>
          <x:t xml:space="preserve">Checked connectivity path, reconfigured VPN settings, and confirmed stable access.</x:t>
        </x:is>
      </x:c>
      <x:c r="U153" s="44" t="n">
        <x:v>46086.71458333333</x:v>
      </x:c>
    </x:row>
    <x:row r="154">
      <x:c r="A154" s="8" t="inlineStr">
        <x:is>
          <x:t xml:space="preserve">INC-202603-0153</x:t>
        </x:is>
      </x:c>
      <x:c r="B154" s="44" t="n">
        <x:v>46099.73055555556</x:v>
      </x:c>
      <x:c r="C154" s="10" t="inlineStr">
        <x:is>
          <x:t xml:space="preserve">India</x:t>
        </x:is>
      </x:c>
      <x:c r="D154" s="8" t="inlineStr">
        <x:is>
          <x:t xml:space="preserve">User 153</x:t>
        </x:is>
      </x:c>
      <x:c r="E154" s="11" t="inlineStr">
        <x:is>
          <x:t xml:space="preserve">Consulting</x:t>
        </x:is>
      </x:c>
      <x:c r="F154" s="10" t="inlineStr">
        <x:is>
          <x:t xml:space="preserve">Phone</x:t>
        </x:is>
      </x:c>
      <x:c r="G154" s="11" t="inlineStr">
        <x:is>
          <x:t xml:space="preserve">Login &amp; Access</x:t>
        </x:is>
      </x:c>
      <x:c r="H154" s="11" t="inlineStr">
        <x:is>
          <x:t xml:space="preserve">MFA prompt loop</x:t>
        </x:is>
      </x:c>
      <x:c r="I154" s="10" t="inlineStr">
        <x:is>
          <x:t xml:space="preserve">High</x:t>
        </x:is>
      </x:c>
      <x:c r="J154" s="10" t="inlineStr">
        <x:is>
          <x:t xml:space="preserve">Resolved</x:t>
        </x:is>
      </x:c>
      <x:c r="K154" s="11" t="inlineStr">
        <x:is>
          <x:t xml:space="preserve">L1 Identity Support</x:t>
        </x:is>
      </x:c>
      <x:c r="L154" s="10" t="inlineStr">
        <x:is>
          <x:t xml:space="preserve">Agent D</x:t>
        </x:is>
      </x:c>
      <x:c r="M154" s="12" t="n">
        <x:v>28</x:v>
      </x:c>
      <x:c r="N154" s="45" t="n">
        <x:v>1.4</x:v>
      </x:c>
      <x:c r="O154" s="12">
        <x:f>XLOOKUP(I154,SLA_Rules!$A$4:$A$7,SLA_Rules!$B$4:$B$7,"")</x:f>
        <x:v>8</x:v>
      </x:c>
      <x:c r="P154" s="12" t="str">
        <x:f>IF(J154&lt;&gt;"Resolved","Pending",IF(N154&lt;=O154,"Yes","No"))</x:f>
        <x:v>Yes</x:v>
      </x:c>
      <x:c r="Q154" s="10" t="inlineStr">
        <x:is>
          <x:t xml:space="preserve">No</x:t>
        </x:is>
      </x:c>
      <x:c r="R154" s="12" t="n">
        <x:v>5</x:v>
      </x:c>
      <x:c r="S154" s="11" t="inlineStr">
        <x:is>
          <x:t xml:space="preserve">Application cache</x:t>
        </x:is>
      </x:c>
      <x:c r="T154" s="5" t="inlineStr">
        <x:is>
          <x:t xml:space="preserve">Validated identity, restored access path, and confirmed successful login.</x:t>
        </x:is>
      </x:c>
      <x:c r="U154" s="44" t="n">
        <x:v>46099.78888888889</x:v>
      </x:c>
    </x:row>
    <x:row r="155">
      <x:c r="A155" s="8" t="inlineStr">
        <x:is>
          <x:t xml:space="preserve">INC-202603-0154</x:t>
        </x:is>
      </x:c>
      <x:c r="B155" s="44" t="n">
        <x:v>46094.21388888889</x:v>
      </x:c>
      <x:c r="C155" s="10" t="inlineStr">
        <x:is>
          <x:t xml:space="preserve">UK</x:t>
        </x:is>
      </x:c>
      <x:c r="D155" s="8" t="inlineStr">
        <x:is>
          <x:t xml:space="preserve">User 154</x:t>
        </x:is>
      </x:c>
      <x:c r="E155" s="11" t="inlineStr">
        <x:is>
          <x:t xml:space="preserve">Risk Advisory</x:t>
        </x:is>
      </x:c>
      <x:c r="F155" s="10" t="inlineStr">
        <x:is>
          <x:t xml:space="preserve">Chat</x:t>
        </x:is>
      </x:c>
      <x:c r="G155" s="11" t="inlineStr">
        <x:is>
          <x:t xml:space="preserve">Password Reset</x:t>
        </x:is>
      </x:c>
      <x:c r="H155" s="11" t="inlineStr">
        <x:is>
          <x:t xml:space="preserve">Password expired</x:t>
        </x:is>
      </x:c>
      <x:c r="I155" s="10" t="inlineStr">
        <x:is>
          <x:t xml:space="preserve">Low</x:t>
        </x:is>
      </x:c>
      <x:c r="J155" s="10" t="inlineStr">
        <x:is>
          <x:t xml:space="preserve">Resolved</x:t>
        </x:is>
      </x:c>
      <x:c r="K155" s="11" t="inlineStr">
        <x:is>
          <x:t xml:space="preserve">L1 Global Service Desk</x:t>
        </x:is>
      </x:c>
      <x:c r="L155" s="10" t="inlineStr">
        <x:is>
          <x:t xml:space="preserve">Agent F</x:t>
        </x:is>
      </x:c>
      <x:c r="M155" s="12" t="n">
        <x:v>61</x:v>
      </x:c>
      <x:c r="N155" s="45" t="n">
        <x:v>8.800000000000001</x:v>
      </x:c>
      <x:c r="O155" s="12">
        <x:f>XLOOKUP(I155,SLA_Rules!$A$4:$A$7,SLA_Rules!$B$4:$B$7,"")</x:f>
        <x:v>24</x:v>
      </x:c>
      <x:c r="P155" s="12" t="str">
        <x:f>IF(J155&lt;&gt;"Resolved","Pending",IF(N155&lt;=O155,"Yes","No"))</x:f>
        <x:v>Yes</x:v>
      </x:c>
      <x:c r="Q155" s="10" t="inlineStr">
        <x:is>
          <x:t xml:space="preserve">No</x:t>
        </x:is>
      </x:c>
      <x:c r="R155" s="12" t="n">
        <x:v>3</x:v>
      </x:c>
      <x:c r="S155" s="11" t="inlineStr">
        <x:is>
          <x:t xml:space="preserve">Pending update</x:t>
        </x:is>
      </x:c>
      <x:c r="T155" s="5" t="inlineStr">
        <x:is>
          <x:t xml:space="preserve">Completed identity validation and processed password reset successfully.</x:t>
        </x:is>
      </x:c>
      <x:c r="U155" s="44" t="n">
        <x:v>46094.58055555556</x:v>
      </x:c>
    </x:row>
    <x:row r="156">
      <x:c r="A156" s="8" t="inlineStr">
        <x:is>
          <x:t xml:space="preserve">INC-202603-0155</x:t>
        </x:is>
      </x:c>
      <x:c r="B156" s="44" t="n">
        <x:v>46088.5875</x:v>
      </x:c>
      <x:c r="C156" s="10" t="inlineStr">
        <x:is>
          <x:t xml:space="preserve">US</x:t>
        </x:is>
      </x:c>
      <x:c r="D156" s="8" t="inlineStr">
        <x:is>
          <x:t xml:space="preserve">User 155</x:t>
        </x:is>
      </x:c>
      <x:c r="E156" s="11" t="inlineStr">
        <x:is>
          <x:t xml:space="preserve">Operations</x:t>
        </x:is>
      </x:c>
      <x:c r="F156" s="10" t="inlineStr">
        <x:is>
          <x:t xml:space="preserve">Web Ticket</x:t>
        </x:is>
      </x:c>
      <x:c r="G156" s="11" t="inlineStr">
        <x:is>
          <x:t xml:space="preserve">Email &amp; Outlook</x:t>
        </x:is>
      </x:c>
      <x:c r="H156" s="11" t="inlineStr">
        <x:is>
          <x:t xml:space="preserve">Attachment blocked</x:t>
        </x:is>
      </x:c>
      <x:c r="I156" s="10" t="inlineStr">
        <x:is>
          <x:t xml:space="preserve">Low</x:t>
        </x:is>
      </x:c>
      <x:c r="J156" s="10" t="inlineStr">
        <x:is>
          <x:t xml:space="preserve">Resolved</x:t>
        </x:is>
      </x:c>
      <x:c r="K156" s="11" t="inlineStr">
        <x:is>
          <x:t xml:space="preserve">L1 Network Support</x:t>
        </x:is>
      </x:c>
      <x:c r="L156" s="10" t="inlineStr">
        <x:is>
          <x:t xml:space="preserve">Agent E</x:t>
        </x:is>
      </x:c>
      <x:c r="M156" s="12" t="n">
        <x:v>125</x:v>
      </x:c>
      <x:c r="N156" s="45" t="n">
        <x:v>3.7</x:v>
      </x:c>
      <x:c r="O156" s="12">
        <x:f>XLOOKUP(I156,SLA_Rules!$A$4:$A$7,SLA_Rules!$B$4:$B$7,"")</x:f>
        <x:v>24</x:v>
      </x:c>
      <x:c r="P156" s="12" t="str">
        <x:f>IF(J156&lt;&gt;"Resolved","Pending",IF(N156&lt;=O156,"Yes","No"))</x:f>
        <x:v>Yes</x:v>
      </x:c>
      <x:c r="Q156" s="10" t="inlineStr">
        <x:is>
          <x:t xml:space="preserve">No</x:t>
        </x:is>
      </x:c>
      <x:c r="R156" s="12" t="n">
        <x:v>4</x:v>
      </x:c>
      <x:c r="S156" s="11" t="inlineStr">
        <x:is>
          <x:t xml:space="preserve">Policy enforcement</x:t>
        </x:is>
      </x:c>
      <x:c r="T156" s="5" t="inlineStr">
        <x:is>
          <x:t xml:space="preserve">Cleared profile/cache and validated mailbox connectivity with user.</x:t>
        </x:is>
      </x:c>
      <x:c r="U156" s="44" t="n">
        <x:v>46088.74166666667</x:v>
      </x:c>
    </x:row>
    <x:row r="157">
      <x:c r="A157" s="8" t="inlineStr">
        <x:is>
          <x:t xml:space="preserve">INC-202603-0156</x:t>
        </x:is>
      </x:c>
      <x:c r="B157" s="44" t="n">
        <x:v>46101.925</x:v>
      </x:c>
      <x:c r="C157" s="10" t="inlineStr">
        <x:is>
          <x:t xml:space="preserve">APAC</x:t>
        </x:is>
      </x:c>
      <x:c r="D157" s="8" t="inlineStr">
        <x:is>
          <x:t xml:space="preserve">User 156</x:t>
        </x:is>
      </x:c>
      <x:c r="E157" s="11" t="inlineStr">
        <x:is>
          <x:t xml:space="preserve">Consulting</x:t>
        </x:is>
      </x:c>
      <x:c r="F157" s="10" t="inlineStr">
        <x:is>
          <x:t xml:space="preserve">Chat</x:t>
        </x:is>
      </x:c>
      <x:c r="G157" s="11" t="inlineStr">
        <x:is>
          <x:t xml:space="preserve">Email &amp; Outlook</x:t>
        </x:is>
      </x:c>
      <x:c r="H157" s="11" t="inlineStr">
        <x:is>
          <x:t xml:space="preserve">Attachment blocked</x:t>
        </x:is>
      </x:c>
      <x:c r="I157" s="10" t="inlineStr">
        <x:is>
          <x:t xml:space="preserve">Low</x:t>
        </x:is>
      </x:c>
      <x:c r="J157" s="10" t="inlineStr">
        <x:is>
          <x:t xml:space="preserve">Resolved</x:t>
        </x:is>
      </x:c>
      <x:c r="K157" s="11" t="inlineStr">
        <x:is>
          <x:t xml:space="preserve">L1 Messaging Support</x:t>
        </x:is>
      </x:c>
      <x:c r="L157" s="10" t="inlineStr">
        <x:is>
          <x:t xml:space="preserve">Agent C</x:t>
        </x:is>
      </x:c>
      <x:c r="M157" s="12" t="n">
        <x:v>125</x:v>
      </x:c>
      <x:c r="N157" s="45" t="n">
        <x:v>7</x:v>
      </x:c>
      <x:c r="O157" s="12">
        <x:f>XLOOKUP(I157,SLA_Rules!$A$4:$A$7,SLA_Rules!$B$4:$B$7,"")</x:f>
        <x:v>24</x:v>
      </x:c>
      <x:c r="P157" s="12" t="str">
        <x:f>IF(J157&lt;&gt;"Resolved","Pending",IF(N157&lt;=O157,"Yes","No"))</x:f>
        <x:v>Yes</x:v>
      </x:c>
      <x:c r="Q157" s="10" t="inlineStr">
        <x:is>
          <x:t xml:space="preserve">No</x:t>
        </x:is>
      </x:c>
      <x:c r="R157" s="12" t="n">
        <x:v>5</x:v>
      </x:c>
      <x:c r="S157" s="11" t="inlineStr">
        <x:is>
          <x:t xml:space="preserve">Expired password</x:t>
        </x:is>
      </x:c>
      <x:c r="T157" s="5" t="inlineStr">
        <x:is>
          <x:t xml:space="preserve">Cleared profile/cache and validated mailbox connectivity with user.</x:t>
        </x:is>
      </x:c>
      <x:c r="U157" s="44" t="n">
        <x:v>46102.21666666667</x:v>
      </x:c>
    </x:row>
    <x:row r="158">
      <x:c r="A158" s="8" t="inlineStr">
        <x:is>
          <x:t xml:space="preserve">INC-202603-0157</x:t>
        </x:is>
      </x:c>
      <x:c r="B158" s="44" t="n">
        <x:v>46111.75833333333</x:v>
      </x:c>
      <x:c r="C158" s="10" t="inlineStr">
        <x:is>
          <x:t xml:space="preserve">India</x:t>
        </x:is>
      </x:c>
      <x:c r="D158" s="8" t="inlineStr">
        <x:is>
          <x:t xml:space="preserve">User 157</x:t>
        </x:is>
      </x:c>
      <x:c r="E158" s="11" t="inlineStr">
        <x:is>
          <x:t xml:space="preserve">HR</x:t>
        </x:is>
      </x:c>
      <x:c r="F158" s="10" t="inlineStr">
        <x:is>
          <x:t xml:space="preserve">Phone</x:t>
        </x:is>
      </x:c>
      <x:c r="G158" s="11" t="inlineStr">
        <x:is>
          <x:t xml:space="preserve">Software &amp; Application</x:t>
        </x:is>
      </x:c>
      <x:c r="H158" s="11" t="inlineStr">
        <x:is>
          <x:t xml:space="preserve">Plugin error</x:t>
        </x:is>
      </x:c>
      <x:c r="I158" s="10" t="inlineStr">
        <x:is>
          <x:t xml:space="preserve">Low</x:t>
        </x:is>
      </x:c>
      <x:c r="J158" s="10" t="inlineStr">
        <x:is>
          <x:t xml:space="preserve">Resolved</x:t>
        </x:is>
      </x:c>
      <x:c r="K158" s="11" t="inlineStr">
        <x:is>
          <x:t xml:space="preserve">L1 Messaging Support</x:t>
        </x:is>
      </x:c>
      <x:c r="L158" s="10" t="inlineStr">
        <x:is>
          <x:t xml:space="preserve">Agent A</x:t>
        </x:is>
      </x:c>
      <x:c r="M158" s="12" t="n">
        <x:v>30</x:v>
      </x:c>
      <x:c r="N158" s="45" t="n">
        <x:v>14.1</x:v>
      </x:c>
      <x:c r="O158" s="12">
        <x:f>XLOOKUP(I158,SLA_Rules!$A$4:$A$7,SLA_Rules!$B$4:$B$7,"")</x:f>
        <x:v>24</x:v>
      </x:c>
      <x:c r="P158" s="12" t="str">
        <x:f>IF(J158&lt;&gt;"Resolved","Pending",IF(N158&lt;=O158,"Yes","No"))</x:f>
        <x:v>Yes</x:v>
      </x:c>
      <x:c r="Q158" s="10" t="inlineStr">
        <x:is>
          <x:t xml:space="preserve">No</x:t>
        </x:is>
      </x:c>
      <x:c r="R158" s="12" t="n">
        <x:v>5</x:v>
      </x:c>
      <x:c r="S158" s="11" t="inlineStr">
        <x:is>
          <x:t xml:space="preserve">Permission mismatch</x:t>
        </x:is>
      </x:c>
      <x:c r="T158" s="5" t="inlineStr">
        <x:is>
          <x:t xml:space="preserve">Validated installation/configuration and completed application repair steps.</x:t>
        </x:is>
      </x:c>
      <x:c r="U158" s="44" t="n">
        <x:v>46112.34583333333</x:v>
      </x:c>
    </x:row>
    <x:row r="159">
      <x:c r="A159" s="8" t="inlineStr">
        <x:is>
          <x:t xml:space="preserve">INC-202603-0158</x:t>
        </x:is>
      </x:c>
      <x:c r="B159" s="44" t="n">
        <x:v>46102.38541666666</x:v>
      </x:c>
      <x:c r="C159" s="10" t="inlineStr">
        <x:is>
          <x:t xml:space="preserve">APAC</x:t>
        </x:is>
      </x:c>
      <x:c r="D159" s="8" t="inlineStr">
        <x:is>
          <x:t xml:space="preserve">User 158</x:t>
        </x:is>
      </x:c>
      <x:c r="E159" s="11" t="inlineStr">
        <x:is>
          <x:t xml:space="preserve">HR</x:t>
        </x:is>
      </x:c>
      <x:c r="F159" s="10" t="inlineStr">
        <x:is>
          <x:t xml:space="preserve">Phone</x:t>
        </x:is>
      </x:c>
      <x:c r="G159" s="11" t="inlineStr">
        <x:is>
          <x:t xml:space="preserve">Printer &amp; Peripheral</x:t>
        </x:is>
      </x:c>
      <x:c r="H159" s="11" t="inlineStr">
        <x:is>
          <x:t xml:space="preserve">Scanner issue</x:t>
        </x:is>
      </x:c>
      <x:c r="I159" s="10" t="inlineStr">
        <x:is>
          <x:t xml:space="preserve">Low</x:t>
        </x:is>
      </x:c>
      <x:c r="J159" s="10" t="inlineStr">
        <x:is>
          <x:t xml:space="preserve">Resolved</x:t>
        </x:is>
      </x:c>
      <x:c r="K159" s="11" t="inlineStr">
        <x:is>
          <x:t xml:space="preserve">L1 Endpoint Support</x:t>
        </x:is>
      </x:c>
      <x:c r="L159" s="10" t="inlineStr">
        <x:is>
          <x:t xml:space="preserve">Agent B</x:t>
        </x:is>
      </x:c>
      <x:c r="M159" s="12" t="n">
        <x:v>132</x:v>
      </x:c>
      <x:c r="N159" s="45" t="n">
        <x:v>6.6</x:v>
      </x:c>
      <x:c r="O159" s="12">
        <x:f>XLOOKUP(I159,SLA_Rules!$A$4:$A$7,SLA_Rules!$B$4:$B$7,"")</x:f>
        <x:v>24</x:v>
      </x:c>
      <x:c r="P159" s="12" t="str">
        <x:f>IF(J159&lt;&gt;"Resolved","Pending",IF(N159&lt;=O159,"Yes","No"))</x:f>
        <x:v>Yes</x:v>
      </x:c>
      <x:c r="Q159" s="10" t="inlineStr">
        <x:is>
          <x:t xml:space="preserve">No</x:t>
        </x:is>
      </x:c>
      <x:c r="R159" s="12" t="n">
        <x:v>5</x:v>
      </x:c>
      <x:c r="S159" s="11" t="inlineStr">
        <x:is>
          <x:t xml:space="preserve">Credential issue</x:t>
        </x:is>
      </x:c>
      <x:c r="T159" s="5" t="inlineStr">
        <x:is>
          <x:t xml:space="preserve">Remapped device/driver and confirmed successful test output.</x:t>
        </x:is>
      </x:c>
      <x:c r="U159" s="44" t="n">
        <x:v>46102.66041666667</x:v>
      </x:c>
    </x:row>
    <x:row r="160">
      <x:c r="A160" s="8" t="inlineStr">
        <x:is>
          <x:t xml:space="preserve">INC-202603-0159</x:t>
        </x:is>
      </x:c>
      <x:c r="B160" s="44" t="n">
        <x:v>46107.48888888889</x:v>
      </x:c>
      <x:c r="C160" s="10" t="inlineStr">
        <x:is>
          <x:t xml:space="preserve">US</x:t>
        </x:is>
      </x:c>
      <x:c r="D160" s="8" t="inlineStr">
        <x:is>
          <x:t xml:space="preserve">User 159</x:t>
        </x:is>
      </x:c>
      <x:c r="E160" s="11" t="inlineStr">
        <x:is>
          <x:t xml:space="preserve">HR</x:t>
        </x:is>
      </x:c>
      <x:c r="F160" s="10" t="inlineStr">
        <x:is>
          <x:t xml:space="preserve">Web Ticket</x:t>
        </x:is>
      </x:c>
      <x:c r="G160" s="11" t="inlineStr">
        <x:is>
          <x:t xml:space="preserve">Network &amp; VPN</x:t>
        </x:is>
      </x:c>
      <x:c r="H160" s="11" t="inlineStr">
        <x:is>
          <x:t xml:space="preserve">Remote desktop timeout</x:t>
        </x:is>
      </x:c>
      <x:c r="I160" s="10" t="inlineStr">
        <x:is>
          <x:t xml:space="preserve">Medium</x:t>
        </x:is>
      </x:c>
      <x:c r="J160" s="10" t="inlineStr">
        <x:is>
          <x:t xml:space="preserve">Resolved</x:t>
        </x:is>
      </x:c>
      <x:c r="K160" s="11" t="inlineStr">
        <x:is>
          <x:t xml:space="preserve">L1 Network Support</x:t>
        </x:is>
      </x:c>
      <x:c r="L160" s="10" t="inlineStr">
        <x:is>
          <x:t xml:space="preserve">Agent A</x:t>
        </x:is>
      </x:c>
      <x:c r="M160" s="12" t="n">
        <x:v>22</x:v>
      </x:c>
      <x:c r="N160" s="45" t="n">
        <x:v>16.6</x:v>
      </x:c>
      <x:c r="O160" s="12">
        <x:f>XLOOKUP(I160,SLA_Rules!$A$4:$A$7,SLA_Rules!$B$4:$B$7,"")</x:f>
        <x:v>16</x:v>
      </x:c>
      <x:c r="P160" s="12" t="str">
        <x:f>IF(J160&lt;&gt;"Resolved","Pending",IF(N160&lt;=O160,"Yes","No"))</x:f>
        <x:v>No</x:v>
      </x:c>
      <x:c r="Q160" s="10" t="inlineStr">
        <x:is>
          <x:t xml:space="preserve">Yes</x:t>
        </x:is>
      </x:c>
      <x:c r="R160" s="12" t="n">
        <x:v>3</x:v>
      </x:c>
      <x:c r="S160" s="11" t="inlineStr">
        <x:is>
          <x:t xml:space="preserve">Network instability</x:t>
        </x:is>
      </x:c>
      <x:c r="T160" s="5" t="inlineStr">
        <x:is>
          <x:t xml:space="preserve">Checked connectivity path, reconfigured VPN settings, and confirmed stable access.</x:t>
        </x:is>
      </x:c>
      <x:c r="U160" s="44" t="n">
        <x:v>46108.18055555555</x:v>
      </x:c>
    </x:row>
    <x:row r="161">
      <x:c r="A161" s="8" t="inlineStr">
        <x:is>
          <x:t xml:space="preserve">INC-202603-0160</x:t>
        </x:is>
      </x:c>
      <x:c r="B161" s="44" t="n">
        <x:v>46095.125</x:v>
      </x:c>
      <x:c r="C161" s="10" t="inlineStr">
        <x:is>
          <x:t xml:space="preserve">India</x:t>
        </x:is>
      </x:c>
      <x:c r="D161" s="8" t="inlineStr">
        <x:is>
          <x:t xml:space="preserve">User 160</x:t>
        </x:is>
      </x:c>
      <x:c r="E161" s="11" t="inlineStr">
        <x:is>
          <x:t xml:space="preserve">HR</x:t>
        </x:is>
      </x:c>
      <x:c r="F161" s="10" t="inlineStr">
        <x:is>
          <x:t xml:space="preserve">Web Ticket</x:t>
        </x:is>
      </x:c>
      <x:c r="G161" s="11" t="inlineStr">
        <x:is>
          <x:t xml:space="preserve">Software &amp; Application</x:t>
        </x:is>
      </x:c>
      <x:c r="H161" s="11" t="inlineStr">
        <x:is>
          <x:t xml:space="preserve">License activation</x:t>
        </x:is>
      </x:c>
      <x:c r="I161" s="10" t="inlineStr">
        <x:is>
          <x:t xml:space="preserve">Medium</x:t>
        </x:is>
      </x:c>
      <x:c r="J161" s="10" t="inlineStr">
        <x:is>
          <x:t xml:space="preserve">Resolved</x:t>
        </x:is>
      </x:c>
      <x:c r="K161" s="11" t="inlineStr">
        <x:is>
          <x:t xml:space="preserve">L1 Messaging Support</x:t>
        </x:is>
      </x:c>
      <x:c r="L161" s="10" t="inlineStr">
        <x:is>
          <x:t xml:space="preserve">Agent G</x:t>
        </x:is>
      </x:c>
      <x:c r="M161" s="12" t="n">
        <x:v>78</x:v>
      </x:c>
      <x:c r="N161" s="45" t="n">
        <x:v>5.2</x:v>
      </x:c>
      <x:c r="O161" s="12">
        <x:f>XLOOKUP(I161,SLA_Rules!$A$4:$A$7,SLA_Rules!$B$4:$B$7,"")</x:f>
        <x:v>16</x:v>
      </x:c>
      <x:c r="P161" s="12" t="str">
        <x:f>IF(J161&lt;&gt;"Resolved","Pending",IF(N161&lt;=O161,"Yes","No"))</x:f>
        <x:v>Yes</x:v>
      </x:c>
      <x:c r="Q161" s="10" t="inlineStr">
        <x:is>
          <x:t xml:space="preserve">No</x:t>
        </x:is>
      </x:c>
      <x:c r="R161" s="12" t="n">
        <x:v>5</x:v>
      </x:c>
      <x:c r="S161" s="11" t="inlineStr">
        <x:is>
          <x:t xml:space="preserve">Policy enforcement</x:t>
        </x:is>
      </x:c>
      <x:c r="T161" s="5" t="inlineStr">
        <x:is>
          <x:t xml:space="preserve">Validated installation/configuration and completed application repair steps.</x:t>
        </x:is>
      </x:c>
      <x:c r="U161" s="44" t="n">
        <x:v>46095.34166666667</x:v>
      </x:c>
    </x:row>
    <x:row r="162">
      <x:c r="A162" s="8" t="inlineStr">
        <x:is>
          <x:t xml:space="preserve">INC-202603-0161</x:t>
        </x:is>
      </x:c>
      <x:c r="B162" s="44" t="n">
        <x:v>46097.1375</x:v>
      </x:c>
      <x:c r="C162" s="10" t="inlineStr">
        <x:is>
          <x:t xml:space="preserve">UK</x:t>
        </x:is>
      </x:c>
      <x:c r="D162" s="8" t="inlineStr">
        <x:is>
          <x:t xml:space="preserve">User 161</x:t>
        </x:is>
      </x:c>
      <x:c r="E162" s="11" t="inlineStr">
        <x:is>
          <x:t xml:space="preserve">Consulting</x:t>
        </x:is>
      </x:c>
      <x:c r="F162" s="10" t="inlineStr">
        <x:is>
          <x:t xml:space="preserve">Chat</x:t>
        </x:is>
      </x:c>
      <x:c r="G162" s="11" t="inlineStr">
        <x:is>
          <x:t xml:space="preserve">Email &amp; Outlook</x:t>
        </x:is>
      </x:c>
      <x:c r="H162" s="11" t="inlineStr">
        <x:is>
          <x:t xml:space="preserve">Attachment blocked</x:t>
        </x:is>
      </x:c>
      <x:c r="I162" s="10" t="inlineStr">
        <x:is>
          <x:t xml:space="preserve">Low</x:t>
        </x:is>
      </x:c>
      <x:c r="J162" s="10" t="inlineStr">
        <x:is>
          <x:t xml:space="preserve">Resolved</x:t>
        </x:is>
      </x:c>
      <x:c r="K162" s="11" t="inlineStr">
        <x:is>
          <x:t xml:space="preserve">L1 Messaging Support</x:t>
        </x:is>
      </x:c>
      <x:c r="L162" s="10" t="inlineStr">
        <x:is>
          <x:t xml:space="preserve">Agent A</x:t>
        </x:is>
      </x:c>
      <x:c r="M162" s="12" t="n">
        <x:v>53</x:v>
      </x:c>
      <x:c r="N162" s="45" t="n">
        <x:v>22.1</x:v>
      </x:c>
      <x:c r="O162" s="12">
        <x:f>XLOOKUP(I162,SLA_Rules!$A$4:$A$7,SLA_Rules!$B$4:$B$7,"")</x:f>
        <x:v>24</x:v>
      </x:c>
      <x:c r="P162" s="12" t="str">
        <x:f>IF(J162&lt;&gt;"Resolved","Pending",IF(N162&lt;=O162,"Yes","No"))</x:f>
        <x:v>Yes</x:v>
      </x:c>
      <x:c r="Q162" s="10" t="inlineStr">
        <x:is>
          <x:t xml:space="preserve">No</x:t>
        </x:is>
      </x:c>
      <x:c r="R162" s="12" t="n">
        <x:v>5</x:v>
      </x:c>
      <x:c r="S162" s="11" t="inlineStr">
        <x:is>
          <x:t xml:space="preserve">Configuration drift</x:t>
        </x:is>
      </x:c>
      <x:c r="T162" s="5" t="inlineStr">
        <x:is>
          <x:t xml:space="preserve">Cleared profile/cache and validated mailbox connectivity with user.</x:t>
        </x:is>
      </x:c>
      <x:c r="U162" s="44" t="n">
        <x:v>46098.05833333333</x:v>
      </x:c>
    </x:row>
    <x:row r="163">
      <x:c r="A163" s="8" t="inlineStr">
        <x:is>
          <x:t xml:space="preserve">INC-202603-0162</x:t>
        </x:is>
      </x:c>
      <x:c r="B163" s="44" t="n">
        <x:v>46104.59722222222</x:v>
      </x:c>
      <x:c r="C163" s="10" t="inlineStr">
        <x:is>
          <x:t xml:space="preserve">US</x:t>
        </x:is>
      </x:c>
      <x:c r="D163" s="8" t="inlineStr">
        <x:is>
          <x:t xml:space="preserve">User 162</x:t>
        </x:is>
      </x:c>
      <x:c r="E163" s="11" t="inlineStr">
        <x:is>
          <x:t xml:space="preserve">Tax</x:t>
        </x:is>
      </x:c>
      <x:c r="F163" s="10" t="inlineStr">
        <x:is>
          <x:t xml:space="preserve">Phone</x:t>
        </x:is>
      </x:c>
      <x:c r="G163" s="11" t="inlineStr">
        <x:is>
          <x:t xml:space="preserve">Email &amp; Outlook</x:t>
        </x:is>
      </x:c>
      <x:c r="H163" s="11" t="inlineStr">
        <x:is>
          <x:t xml:space="preserve">Attachment blocked</x:t>
        </x:is>
      </x:c>
      <x:c r="I163" s="10" t="inlineStr">
        <x:is>
          <x:t xml:space="preserve">Low</x:t>
        </x:is>
      </x:c>
      <x:c r="J163" s="10" t="inlineStr">
        <x:is>
          <x:t xml:space="preserve">Resolved</x:t>
        </x:is>
      </x:c>
      <x:c r="K163" s="11" t="inlineStr">
        <x:is>
          <x:t xml:space="preserve">L1 Endpoint Support</x:t>
        </x:is>
      </x:c>
      <x:c r="L163" s="10" t="inlineStr">
        <x:is>
          <x:t xml:space="preserve">Agent F</x:t>
        </x:is>
      </x:c>
      <x:c r="M163" s="12" t="n">
        <x:v>53</x:v>
      </x:c>
      <x:c r="N163" s="45" t="n">
        <x:v>4.5</x:v>
      </x:c>
      <x:c r="O163" s="12">
        <x:f>XLOOKUP(I163,SLA_Rules!$A$4:$A$7,SLA_Rules!$B$4:$B$7,"")</x:f>
        <x:v>24</x:v>
      </x:c>
      <x:c r="P163" s="12" t="str">
        <x:f>IF(J163&lt;&gt;"Resolved","Pending",IF(N163&lt;=O163,"Yes","No"))</x:f>
        <x:v>Yes</x:v>
      </x:c>
      <x:c r="Q163" s="10" t="inlineStr">
        <x:is>
          <x:t xml:space="preserve">No</x:t>
        </x:is>
      </x:c>
      <x:c r="R163" s="12" t="n">
        <x:v>3</x:v>
      </x:c>
      <x:c r="S163" s="11" t="inlineStr">
        <x:is>
          <x:t xml:space="preserve">Application cache</x:t>
        </x:is>
      </x:c>
      <x:c r="T163" s="5" t="inlineStr">
        <x:is>
          <x:t xml:space="preserve">Cleared profile/cache and validated mailbox connectivity with user.</x:t>
        </x:is>
      </x:c>
      <x:c r="U163" s="44" t="n">
        <x:v>46104.78472222222</x:v>
      </x:c>
    </x:row>
    <x:row r="164">
      <x:c r="A164" s="8" t="inlineStr">
        <x:is>
          <x:t xml:space="preserve">INC-202603-0163</x:t>
        </x:is>
      </x:c>
      <x:c r="B164" s="44" t="n">
        <x:v>46107.52777777778</x:v>
      </x:c>
      <x:c r="C164" s="10" t="inlineStr">
        <x:is>
          <x:t xml:space="preserve">US</x:t>
        </x:is>
      </x:c>
      <x:c r="D164" s="8" t="inlineStr">
        <x:is>
          <x:t xml:space="preserve">User 163</x:t>
        </x:is>
      </x:c>
      <x:c r="E164" s="11" t="inlineStr">
        <x:is>
          <x:t xml:space="preserve">HR</x:t>
        </x:is>
      </x:c>
      <x:c r="F164" s="10" t="inlineStr">
        <x:is>
          <x:t xml:space="preserve">Phone</x:t>
        </x:is>
      </x:c>
      <x:c r="G164" s="11" t="inlineStr">
        <x:is>
          <x:t xml:space="preserve">Software &amp; Application</x:t>
        </x:is>
      </x:c>
      <x:c r="H164" s="11" t="inlineStr">
        <x:is>
          <x:t xml:space="preserve">Install failed</x:t>
        </x:is>
      </x:c>
      <x:c r="I164" s="10" t="inlineStr">
        <x:is>
          <x:t xml:space="preserve">Medium</x:t>
        </x:is>
      </x:c>
      <x:c r="J164" s="10" t="inlineStr">
        <x:is>
          <x:t xml:space="preserve">Resolved</x:t>
        </x:is>
      </x:c>
      <x:c r="K164" s="11" t="inlineStr">
        <x:is>
          <x:t xml:space="preserve">L1 Endpoint Support</x:t>
        </x:is>
      </x:c>
      <x:c r="L164" s="10" t="inlineStr">
        <x:is>
          <x:t xml:space="preserve">Agent B</x:t>
        </x:is>
      </x:c>
      <x:c r="M164" s="12" t="n">
        <x:v>67</x:v>
      </x:c>
      <x:c r="N164" s="45" t="n">
        <x:v>10.6</x:v>
      </x:c>
      <x:c r="O164" s="12">
        <x:f>XLOOKUP(I164,SLA_Rules!$A$4:$A$7,SLA_Rules!$B$4:$B$7,"")</x:f>
        <x:v>16</x:v>
      </x:c>
      <x:c r="P164" s="12" t="str">
        <x:f>IF(J164&lt;&gt;"Resolved","Pending",IF(N164&lt;=O164,"Yes","No"))</x:f>
        <x:v>Yes</x:v>
      </x:c>
      <x:c r="Q164" s="10" t="inlineStr">
        <x:is>
          <x:t xml:space="preserve">No</x:t>
        </x:is>
      </x:c>
      <x:c r="R164" s="12" t="n">
        <x:v>4</x:v>
      </x:c>
      <x:c r="S164" s="11" t="inlineStr">
        <x:is>
          <x:t xml:space="preserve">Policy enforcement</x:t>
        </x:is>
      </x:c>
      <x:c r="T164" s="5" t="inlineStr">
        <x:is>
          <x:t xml:space="preserve">Validated installation/configuration and completed application repair steps.</x:t>
        </x:is>
      </x:c>
      <x:c r="U164" s="44" t="n">
        <x:v>46107.96944444445</x:v>
      </x:c>
    </x:row>
    <x:row r="165">
      <x:c r="A165" s="8" t="inlineStr">
        <x:is>
          <x:t xml:space="preserve">INC-202603-0164</x:t>
        </x:is>
      </x:c>
      <x:c r="B165" s="44" t="n">
        <x:v>46109.71597222222</x:v>
      </x:c>
      <x:c r="C165" s="10" t="inlineStr">
        <x:is>
          <x:t xml:space="preserve">UK</x:t>
        </x:is>
      </x:c>
      <x:c r="D165" s="8" t="inlineStr">
        <x:is>
          <x:t xml:space="preserve">User 164</x:t>
        </x:is>
      </x:c>
      <x:c r="E165" s="11" t="inlineStr">
        <x:is>
          <x:t xml:space="preserve">Tax</x:t>
        </x:is>
      </x:c>
      <x:c r="F165" s="10" t="inlineStr">
        <x:is>
          <x:t xml:space="preserve">Phone</x:t>
        </x:is>
      </x:c>
      <x:c r="G165" s="11" t="inlineStr">
        <x:is>
          <x:t xml:space="preserve">Password Reset</x:t>
        </x:is>
      </x:c>
      <x:c r="H165" s="11" t="inlineStr">
        <x:is>
          <x:t xml:space="preserve">Password policy error</x:t>
        </x:is>
      </x:c>
      <x:c r="I165" s="10" t="inlineStr">
        <x:is>
          <x:t xml:space="preserve">Low</x:t>
        </x:is>
      </x:c>
      <x:c r="J165" s="10" t="inlineStr">
        <x:is>
          <x:t xml:space="preserve">Resolved</x:t>
        </x:is>
      </x:c>
      <x:c r="K165" s="11" t="inlineStr">
        <x:is>
          <x:t xml:space="preserve">L1 Global Service Desk</x:t>
        </x:is>
      </x:c>
      <x:c r="L165" s="10" t="inlineStr">
        <x:is>
          <x:t xml:space="preserve">Agent G</x:t>
        </x:is>
      </x:c>
      <x:c r="M165" s="12" t="n">
        <x:v>53</x:v>
      </x:c>
      <x:c r="N165" s="45" t="n">
        <x:v>7.4</x:v>
      </x:c>
      <x:c r="O165" s="12">
        <x:f>XLOOKUP(I165,SLA_Rules!$A$4:$A$7,SLA_Rules!$B$4:$B$7,"")</x:f>
        <x:v>24</x:v>
      </x:c>
      <x:c r="P165" s="12" t="str">
        <x:f>IF(J165&lt;&gt;"Resolved","Pending",IF(N165&lt;=O165,"Yes","No"))</x:f>
        <x:v>Yes</x:v>
      </x:c>
      <x:c r="Q165" s="10" t="inlineStr">
        <x:is>
          <x:t xml:space="preserve">No</x:t>
        </x:is>
      </x:c>
      <x:c r="R165" s="12" t="n">
        <x:v>4</x:v>
      </x:c>
      <x:c r="S165" s="11" t="inlineStr">
        <x:is>
          <x:t xml:space="preserve">Permission mismatch</x:t>
        </x:is>
      </x:c>
      <x:c r="T165" s="5" t="inlineStr">
        <x:is>
          <x:t xml:space="preserve">Completed identity validation and processed password reset successfully.</x:t>
        </x:is>
      </x:c>
      <x:c r="U165" s="44" t="n">
        <x:v>46110.02430555555</x:v>
      </x:c>
    </x:row>
    <x:row r="166">
      <x:c r="A166" s="8" t="inlineStr">
        <x:is>
          <x:t xml:space="preserve">INC-202603-0165</x:t>
        </x:is>
      </x:c>
      <x:c r="B166" s="44" t="n">
        <x:v>46087.90625</x:v>
      </x:c>
      <x:c r="C166" s="10" t="inlineStr">
        <x:is>
          <x:t xml:space="preserve">US</x:t>
        </x:is>
      </x:c>
      <x:c r="D166" s="8" t="inlineStr">
        <x:is>
          <x:t xml:space="preserve">User 165</x:t>
        </x:is>
      </x:c>
      <x:c r="E166" s="11" t="inlineStr">
        <x:is>
          <x:t xml:space="preserve">Finance</x:t>
        </x:is>
      </x:c>
      <x:c r="F166" s="10" t="inlineStr">
        <x:is>
          <x:t xml:space="preserve">Phone</x:t>
        </x:is>
      </x:c>
      <x:c r="G166" s="11" t="inlineStr">
        <x:is>
          <x:t xml:space="preserve">Network &amp; VPN</x:t>
        </x:is>
      </x:c>
      <x:c r="H166" s="11" t="inlineStr">
        <x:is>
          <x:t xml:space="preserve">No internet</x:t>
        </x:is>
      </x:c>
      <x:c r="I166" s="10" t="inlineStr">
        <x:is>
          <x:t xml:space="preserve">High</x:t>
        </x:is>
      </x:c>
      <x:c r="J166" s="10" t="inlineStr">
        <x:is>
          <x:t xml:space="preserve">Resolved</x:t>
        </x:is>
      </x:c>
      <x:c r="K166" s="11" t="inlineStr">
        <x:is>
          <x:t xml:space="preserve">L1 Endpoint Support</x:t>
        </x:is>
      </x:c>
      <x:c r="L166" s="10" t="inlineStr">
        <x:is>
          <x:t xml:space="preserve">Agent E</x:t>
        </x:is>
      </x:c>
      <x:c r="M166" s="12" t="n">
        <x:v>11</x:v>
      </x:c>
      <x:c r="N166" s="45" t="n">
        <x:v>7.1</x:v>
      </x:c>
      <x:c r="O166" s="12">
        <x:f>XLOOKUP(I166,SLA_Rules!$A$4:$A$7,SLA_Rules!$B$4:$B$7,"")</x:f>
        <x:v>8</x:v>
      </x:c>
      <x:c r="P166" s="12" t="str">
        <x:f>IF(J166&lt;&gt;"Resolved","Pending",IF(N166&lt;=O166,"Yes","No"))</x:f>
        <x:v>Yes</x:v>
      </x:c>
      <x:c r="Q166" s="10" t="inlineStr">
        <x:is>
          <x:t xml:space="preserve">No</x:t>
        </x:is>
      </x:c>
      <x:c r="R166" s="12" t="n">
        <x:v>5</x:v>
      </x:c>
      <x:c r="S166" s="11" t="inlineStr">
        <x:is>
          <x:t xml:space="preserve">Network instability</x:t>
        </x:is>
      </x:c>
      <x:c r="T166" s="5" t="inlineStr">
        <x:is>
          <x:t xml:space="preserve">Checked connectivity path, reconfigured VPN settings, and confirmed stable access.</x:t>
        </x:is>
      </x:c>
      <x:c r="U166" s="44" t="n">
        <x:v>46088.20208333333</x:v>
      </x:c>
    </x:row>
    <x:row r="167">
      <x:c r="A167" s="8" t="inlineStr">
        <x:is>
          <x:t xml:space="preserve">INC-202603-0166</x:t>
        </x:is>
      </x:c>
      <x:c r="B167" s="44" t="n">
        <x:v>46095.22986111111</x:v>
      </x:c>
      <x:c r="C167" s="10" t="inlineStr">
        <x:is>
          <x:t xml:space="preserve">US</x:t>
        </x:is>
      </x:c>
      <x:c r="D167" s="8" t="inlineStr">
        <x:is>
          <x:t xml:space="preserve">User 166</x:t>
        </x:is>
      </x:c>
      <x:c r="E167" s="11" t="inlineStr">
        <x:is>
          <x:t xml:space="preserve">Consulting</x:t>
        </x:is>
      </x:c>
      <x:c r="F167" s="10" t="inlineStr">
        <x:is>
          <x:t xml:space="preserve">Email</x:t>
        </x:is>
      </x:c>
      <x:c r="G167" s="11" t="inlineStr">
        <x:is>
          <x:t xml:space="preserve">Email &amp; Outlook</x:t>
        </x:is>
      </x:c>
      <x:c r="H167" s="11" t="inlineStr">
        <x:is>
          <x:t xml:space="preserve">Mailbox sync delay</x:t>
        </x:is>
      </x:c>
      <x:c r="I167" s="10" t="inlineStr">
        <x:is>
          <x:t xml:space="preserve">Low</x:t>
        </x:is>
      </x:c>
      <x:c r="J167" s="10" t="inlineStr">
        <x:is>
          <x:t xml:space="preserve">Resolved</x:t>
        </x:is>
      </x:c>
      <x:c r="K167" s="11" t="inlineStr">
        <x:is>
          <x:t xml:space="preserve">L1 Network Support</x:t>
        </x:is>
      </x:c>
      <x:c r="L167" s="10" t="inlineStr">
        <x:is>
          <x:t xml:space="preserve">Agent D</x:t>
        </x:is>
      </x:c>
      <x:c r="M167" s="12" t="n">
        <x:v>68</x:v>
      </x:c>
      <x:c r="N167" s="45" t="n">
        <x:v>16.9</x:v>
      </x:c>
      <x:c r="O167" s="12">
        <x:f>XLOOKUP(I167,SLA_Rules!$A$4:$A$7,SLA_Rules!$B$4:$B$7,"")</x:f>
        <x:v>24</x:v>
      </x:c>
      <x:c r="P167" s="12" t="str">
        <x:f>IF(J167&lt;&gt;"Resolved","Pending",IF(N167&lt;=O167,"Yes","No"))</x:f>
        <x:v>Yes</x:v>
      </x:c>
      <x:c r="Q167" s="10" t="inlineStr">
        <x:is>
          <x:t xml:space="preserve">No</x:t>
        </x:is>
      </x:c>
      <x:c r="R167" s="12" t="n">
        <x:v>5</x:v>
      </x:c>
      <x:c r="S167" s="11" t="inlineStr">
        <x:is>
          <x:t xml:space="preserve">Permission mismatch</x:t>
        </x:is>
      </x:c>
      <x:c r="T167" s="5" t="inlineStr">
        <x:is>
          <x:t xml:space="preserve">Cleared profile/cache and validated mailbox connectivity with user.</x:t>
        </x:is>
      </x:c>
      <x:c r="U167" s="44" t="n">
        <x:v>46095.93402777778</x:v>
      </x:c>
    </x:row>
    <x:row r="168">
      <x:c r="A168" s="8" t="inlineStr">
        <x:is>
          <x:t xml:space="preserve">INC-202603-0167</x:t>
        </x:is>
      </x:c>
      <x:c r="B168" s="44" t="n">
        <x:v>46088.52430555555</x:v>
      </x:c>
      <x:c r="C168" s="10" t="inlineStr">
        <x:is>
          <x:t xml:space="preserve">US</x:t>
        </x:is>
      </x:c>
      <x:c r="D168" s="8" t="inlineStr">
        <x:is>
          <x:t xml:space="preserve">User 167</x:t>
        </x:is>
      </x:c>
      <x:c r="E168" s="11" t="inlineStr">
        <x:is>
          <x:t xml:space="preserve">Audit</x:t>
        </x:is>
      </x:c>
      <x:c r="F168" s="10" t="inlineStr">
        <x:is>
          <x:t xml:space="preserve">Web Ticket</x:t>
        </x:is>
      </x:c>
      <x:c r="G168" s="11" t="inlineStr">
        <x:is>
          <x:t xml:space="preserve">Email &amp; Outlook</x:t>
        </x:is>
      </x:c>
      <x:c r="H168" s="11" t="inlineStr">
        <x:is>
          <x:t xml:space="preserve">Mailbox sync delay</x:t>
        </x:is>
      </x:c>
      <x:c r="I168" s="10" t="inlineStr">
        <x:is>
          <x:t xml:space="preserve">Low</x:t>
        </x:is>
      </x:c>
      <x:c r="J168" s="10" t="inlineStr">
        <x:is>
          <x:t xml:space="preserve">Resolved</x:t>
        </x:is>
      </x:c>
      <x:c r="K168" s="11" t="inlineStr">
        <x:is>
          <x:t xml:space="preserve">L1 Endpoint Support</x:t>
        </x:is>
      </x:c>
      <x:c r="L168" s="10" t="inlineStr">
        <x:is>
          <x:t xml:space="preserve">Agent B</x:t>
        </x:is>
      </x:c>
      <x:c r="M168" s="12" t="n">
        <x:v>149</x:v>
      </x:c>
      <x:c r="N168" s="45" t="n">
        <x:v>13.1</x:v>
      </x:c>
      <x:c r="O168" s="12">
        <x:f>XLOOKUP(I168,SLA_Rules!$A$4:$A$7,SLA_Rules!$B$4:$B$7,"")</x:f>
        <x:v>24</x:v>
      </x:c>
      <x:c r="P168" s="12" t="str">
        <x:f>IF(J168&lt;&gt;"Resolved","Pending",IF(N168&lt;=O168,"Yes","No"))</x:f>
        <x:v>Yes</x:v>
      </x:c>
      <x:c r="Q168" s="10" t="inlineStr">
        <x:is>
          <x:t xml:space="preserve">No</x:t>
        </x:is>
      </x:c>
      <x:c r="R168" s="12" t="n">
        <x:v>4</x:v>
      </x:c>
      <x:c r="S168" s="11" t="inlineStr">
        <x:is>
          <x:t xml:space="preserve">Permission mismatch</x:t>
        </x:is>
      </x:c>
      <x:c r="T168" s="5" t="inlineStr">
        <x:is>
          <x:t xml:space="preserve">Cleared profile/cache and validated mailbox connectivity with user.</x:t>
        </x:is>
      </x:c>
      <x:c r="U168" s="44" t="n">
        <x:v>46089.07013888889</x:v>
      </x:c>
    </x:row>
    <x:row r="169">
      <x:c r="A169" s="8" t="inlineStr">
        <x:is>
          <x:t xml:space="preserve">INC-202603-0168</x:t>
        </x:is>
      </x:c>
      <x:c r="B169" s="44" t="n">
        <x:v>46091.24236111111</x:v>
      </x:c>
      <x:c r="C169" s="10" t="inlineStr">
        <x:is>
          <x:t xml:space="preserve">UK</x:t>
        </x:is>
      </x:c>
      <x:c r="D169" s="8" t="inlineStr">
        <x:is>
          <x:t xml:space="preserve">User 168</x:t>
        </x:is>
      </x:c>
      <x:c r="E169" s="11" t="inlineStr">
        <x:is>
          <x:t xml:space="preserve">Internal Services</x:t>
        </x:is>
      </x:c>
      <x:c r="F169" s="10" t="inlineStr">
        <x:is>
          <x:t xml:space="preserve">Phone</x:t>
        </x:is>
      </x:c>
      <x:c r="G169" s="11" t="inlineStr">
        <x:is>
          <x:t xml:space="preserve">Network &amp; VPN</x:t>
        </x:is>
      </x:c>
      <x:c r="H169" s="11" t="inlineStr">
        <x:is>
          <x:t xml:space="preserve">VPN not connecting</x:t>
        </x:is>
      </x:c>
      <x:c r="I169" s="10" t="inlineStr">
        <x:is>
          <x:t xml:space="preserve">High</x:t>
        </x:is>
      </x:c>
      <x:c r="J169" s="10" t="inlineStr">
        <x:is>
          <x:t xml:space="preserve">Resolved</x:t>
        </x:is>
      </x:c>
      <x:c r="K169" s="11" t="inlineStr">
        <x:is>
          <x:t xml:space="preserve">L1 Identity Support</x:t>
        </x:is>
      </x:c>
      <x:c r="L169" s="10" t="inlineStr">
        <x:is>
          <x:t xml:space="preserve">Agent E</x:t>
        </x:is>
      </x:c>
      <x:c r="M169" s="12" t="n">
        <x:v>37</x:v>
      </x:c>
      <x:c r="N169" s="45" t="n">
        <x:v>6</x:v>
      </x:c>
      <x:c r="O169" s="12">
        <x:f>XLOOKUP(I169,SLA_Rules!$A$4:$A$7,SLA_Rules!$B$4:$B$7,"")</x:f>
        <x:v>8</x:v>
      </x:c>
      <x:c r="P169" s="12" t="str">
        <x:f>IF(J169&lt;&gt;"Resolved","Pending",IF(N169&lt;=O169,"Yes","No"))</x:f>
        <x:v>Yes</x:v>
      </x:c>
      <x:c r="Q169" s="10" t="inlineStr">
        <x:is>
          <x:t xml:space="preserve">No</x:t>
        </x:is>
      </x:c>
      <x:c r="R169" s="12" t="n">
        <x:v>5</x:v>
      </x:c>
      <x:c r="S169" s="11" t="inlineStr">
        <x:is>
          <x:t xml:space="preserve">Credential issue</x:t>
        </x:is>
      </x:c>
      <x:c r="T169" s="5" t="inlineStr">
        <x:is>
          <x:t xml:space="preserve">Checked connectivity path, reconfigured VPN settings, and confirmed stable access.</x:t>
        </x:is>
      </x:c>
      <x:c r="U169" s="44" t="n">
        <x:v>46091.49236111111</x:v>
      </x:c>
    </x:row>
    <x:row r="170">
      <x:c r="A170" s="8" t="inlineStr">
        <x:is>
          <x:t xml:space="preserve">INC-202603-0169</x:t>
        </x:is>
      </x:c>
      <x:c r="B170" s="44" t="n">
        <x:v>46095.15763888889</x:v>
      </x:c>
      <x:c r="C170" s="10" t="inlineStr">
        <x:is>
          <x:t xml:space="preserve">UK</x:t>
        </x:is>
      </x:c>
      <x:c r="D170" s="8" t="inlineStr">
        <x:is>
          <x:t xml:space="preserve">User 169</x:t>
        </x:is>
      </x:c>
      <x:c r="E170" s="11" t="inlineStr">
        <x:is>
          <x:t xml:space="preserve">Operations</x:t>
        </x:is>
      </x:c>
      <x:c r="F170" s="10" t="inlineStr">
        <x:is>
          <x:t xml:space="preserve">Chat</x:t>
        </x:is>
      </x:c>
      <x:c r="G170" s="11" t="inlineStr">
        <x:is>
          <x:t xml:space="preserve">Email &amp; Outlook</x:t>
        </x:is>
      </x:c>
      <x:c r="H170" s="11" t="inlineStr">
        <x:is>
          <x:t xml:space="preserve">Search not working</x:t>
        </x:is>
      </x:c>
      <x:c r="I170" s="10" t="inlineStr">
        <x:is>
          <x:t xml:space="preserve">Low</x:t>
        </x:is>
      </x:c>
      <x:c r="J170" s="10" t="inlineStr">
        <x:is>
          <x:t xml:space="preserve">Resolved</x:t>
        </x:is>
      </x:c>
      <x:c r="K170" s="11" t="inlineStr">
        <x:is>
          <x:t xml:space="preserve">L1 Network Support</x:t>
        </x:is>
      </x:c>
      <x:c r="L170" s="10" t="inlineStr">
        <x:is>
          <x:t xml:space="preserve">Agent B</x:t>
        </x:is>
      </x:c>
      <x:c r="M170" s="12" t="n">
        <x:v>100</x:v>
      </x:c>
      <x:c r="N170" s="45" t="n">
        <x:v>33.4</x:v>
      </x:c>
      <x:c r="O170" s="12">
        <x:f>XLOOKUP(I170,SLA_Rules!$A$4:$A$7,SLA_Rules!$B$4:$B$7,"")</x:f>
        <x:v>24</x:v>
      </x:c>
      <x:c r="P170" s="12" t="str">
        <x:f>IF(J170&lt;&gt;"Resolved","Pending",IF(N170&lt;=O170,"Yes","No"))</x:f>
        <x:v>No</x:v>
      </x:c>
      <x:c r="Q170" s="10" t="inlineStr">
        <x:is>
          <x:t xml:space="preserve">Yes</x:t>
        </x:is>
      </x:c>
      <x:c r="R170" s="12" t="n">
        <x:v>5</x:v>
      </x:c>
      <x:c r="S170" s="11" t="inlineStr">
        <x:is>
          <x:t xml:space="preserve">User error</x:t>
        </x:is>
      </x:c>
      <x:c r="T170" s="5" t="inlineStr">
        <x:is>
          <x:t xml:space="preserve">Cleared profile/cache and validated mailbox connectivity with user.</x:t>
        </x:is>
      </x:c>
      <x:c r="U170" s="44" t="n">
        <x:v>46096.54930555556</x:v>
      </x:c>
    </x:row>
    <x:row r="171">
      <x:c r="A171" s="8" t="inlineStr">
        <x:is>
          <x:t xml:space="preserve">INC-202603-0170</x:t>
        </x:is>
      </x:c>
      <x:c r="B171" s="44" t="n">
        <x:v>46105.78055555555</x:v>
      </x:c>
      <x:c r="C171" s="10" t="inlineStr">
        <x:is>
          <x:t xml:space="preserve">APAC</x:t>
        </x:is>
      </x:c>
      <x:c r="D171" s="8" t="inlineStr">
        <x:is>
          <x:t xml:space="preserve">User 170</x:t>
        </x:is>
      </x:c>
      <x:c r="E171" s="11" t="inlineStr">
        <x:is>
          <x:t xml:space="preserve">Risk Advisory</x:t>
        </x:is>
      </x:c>
      <x:c r="F171" s="10" t="inlineStr">
        <x:is>
          <x:t xml:space="preserve">Chat</x:t>
        </x:is>
      </x:c>
      <x:c r="G171" s="11" t="inlineStr">
        <x:is>
          <x:t xml:space="preserve">Network &amp; VPN</x:t>
        </x:is>
      </x:c>
      <x:c r="H171" s="11" t="inlineStr">
        <x:is>
          <x:t xml:space="preserve">No internet</x:t>
        </x:is>
      </x:c>
      <x:c r="I171" s="10" t="inlineStr">
        <x:is>
          <x:t xml:space="preserve">High</x:t>
        </x:is>
      </x:c>
      <x:c r="J171" s="10" t="inlineStr">
        <x:is>
          <x:t xml:space="preserve">Resolved</x:t>
        </x:is>
      </x:c>
      <x:c r="K171" s="11" t="inlineStr">
        <x:is>
          <x:t xml:space="preserve">L1 Identity Support</x:t>
        </x:is>
      </x:c>
      <x:c r="L171" s="10" t="inlineStr">
        <x:is>
          <x:t xml:space="preserve">Agent G</x:t>
        </x:is>
      </x:c>
      <x:c r="M171" s="12" t="n">
        <x:v>33</x:v>
      </x:c>
      <x:c r="N171" s="45" t="n">
        <x:v>5.7</x:v>
      </x:c>
      <x:c r="O171" s="12">
        <x:f>XLOOKUP(I171,SLA_Rules!$A$4:$A$7,SLA_Rules!$B$4:$B$7,"")</x:f>
        <x:v>8</x:v>
      </x:c>
      <x:c r="P171" s="12" t="str">
        <x:f>IF(J171&lt;&gt;"Resolved","Pending",IF(N171&lt;=O171,"Yes","No"))</x:f>
        <x:v>Yes</x:v>
      </x:c>
      <x:c r="Q171" s="10" t="inlineStr">
        <x:is>
          <x:t xml:space="preserve">No</x:t>
        </x:is>
      </x:c>
      <x:c r="R171" s="12" t="n">
        <x:v>4</x:v>
      </x:c>
      <x:c r="S171" s="11" t="inlineStr">
        <x:is>
          <x:t xml:space="preserve">Network instability</x:t>
        </x:is>
      </x:c>
      <x:c r="T171" s="5" t="inlineStr">
        <x:is>
          <x:t xml:space="preserve">Checked connectivity path, reconfigured VPN settings, and confirmed stable access.</x:t>
        </x:is>
      </x:c>
      <x:c r="U171" s="44" t="n">
        <x:v>46106.01805555556</x:v>
      </x:c>
    </x:row>
    <x:row r="172">
      <x:c r="A172" s="8" t="inlineStr">
        <x:is>
          <x:t xml:space="preserve">INC-202603-0171</x:t>
        </x:is>
      </x:c>
      <x:c r="B172" s="44" t="n">
        <x:v>46100.37083333333</x:v>
      </x:c>
      <x:c r="C172" s="10" t="inlineStr">
        <x:is>
          <x:t xml:space="preserve">India</x:t>
        </x:is>
      </x:c>
      <x:c r="D172" s="8" t="inlineStr">
        <x:is>
          <x:t xml:space="preserve">User 171</x:t>
        </x:is>
      </x:c>
      <x:c r="E172" s="11" t="inlineStr">
        <x:is>
          <x:t xml:space="preserve">Finance</x:t>
        </x:is>
      </x:c>
      <x:c r="F172" s="10" t="inlineStr">
        <x:is>
          <x:t xml:space="preserve">Email</x:t>
        </x:is>
      </x:c>
      <x:c r="G172" s="11" t="inlineStr">
        <x:is>
          <x:t xml:space="preserve">Hardware</x:t>
        </x:is>
      </x:c>
      <x:c r="H172" s="11" t="inlineStr">
        <x:is>
          <x:t xml:space="preserve">Laptop slow</x:t>
        </x:is>
      </x:c>
      <x:c r="I172" s="10" t="inlineStr">
        <x:is>
          <x:t xml:space="preserve">High</x:t>
        </x:is>
      </x:c>
      <x:c r="J172" s="10" t="inlineStr">
        <x:is>
          <x:t xml:space="preserve">Resolved</x:t>
        </x:is>
      </x:c>
      <x:c r="K172" s="11" t="inlineStr">
        <x:is>
          <x:t xml:space="preserve">L1 Messaging Support</x:t>
        </x:is>
      </x:c>
      <x:c r="L172" s="10" t="inlineStr">
        <x:is>
          <x:t xml:space="preserve">Agent C</x:t>
        </x:is>
      </x:c>
      <x:c r="M172" s="12" t="n">
        <x:v>12</x:v>
      </x:c>
      <x:c r="N172" s="45" t="n">
        <x:v>7</x:v>
      </x:c>
      <x:c r="O172" s="12">
        <x:f>XLOOKUP(I172,SLA_Rules!$A$4:$A$7,SLA_Rules!$B$4:$B$7,"")</x:f>
        <x:v>8</x:v>
      </x:c>
      <x:c r="P172" s="12" t="str">
        <x:f>IF(J172&lt;&gt;"Resolved","Pending",IF(N172&lt;=O172,"Yes","No"))</x:f>
        <x:v>Yes</x:v>
      </x:c>
      <x:c r="Q172" s="10" t="inlineStr">
        <x:is>
          <x:t xml:space="preserve">No</x:t>
        </x:is>
      </x:c>
      <x:c r="R172" s="12" t="n">
        <x:v>4</x:v>
      </x:c>
      <x:c r="S172" s="11" t="inlineStr">
        <x:is>
          <x:t xml:space="preserve">Pending update</x:t>
        </x:is>
      </x:c>
      <x:c r="T172" s="5" t="inlineStr">
        <x:is>
          <x:t xml:space="preserve">Ran endpoint checks and provided workaround or hardware escalation as needed.</x:t>
        </x:is>
      </x:c>
      <x:c r="U172" s="44" t="n">
        <x:v>46100.6625</x:v>
      </x:c>
    </x:row>
    <x:row r="173">
      <x:c r="A173" s="8" t="inlineStr">
        <x:is>
          <x:t xml:space="preserve">INC-202603-0172</x:t>
        </x:is>
      </x:c>
      <x:c r="B173" s="44" t="n">
        <x:v>46108.89236111111</x:v>
      </x:c>
      <x:c r="C173" s="10" t="inlineStr">
        <x:is>
          <x:t xml:space="preserve">India</x:t>
        </x:is>
      </x:c>
      <x:c r="D173" s="8" t="inlineStr">
        <x:is>
          <x:t xml:space="preserve">User 172</x:t>
        </x:is>
      </x:c>
      <x:c r="E173" s="11" t="inlineStr">
        <x:is>
          <x:t xml:space="preserve">Finance</x:t>
        </x:is>
      </x:c>
      <x:c r="F173" s="10" t="inlineStr">
        <x:is>
          <x:t xml:space="preserve">Phone</x:t>
        </x:is>
      </x:c>
      <x:c r="G173" s="11" t="inlineStr">
        <x:is>
          <x:t xml:space="preserve">Password Reset</x:t>
        </x:is>
      </x:c>
      <x:c r="H173" s="11" t="inlineStr">
        <x:is>
          <x:t xml:space="preserve">Unlock request</x:t>
        </x:is>
      </x:c>
      <x:c r="I173" s="10" t="inlineStr">
        <x:is>
          <x:t xml:space="preserve">Low</x:t>
        </x:is>
      </x:c>
      <x:c r="J173" s="10" t="inlineStr">
        <x:is>
          <x:t xml:space="preserve">Resolved</x:t>
        </x:is>
      </x:c>
      <x:c r="K173" s="11" t="inlineStr">
        <x:is>
          <x:t xml:space="preserve">L1 Global Service Desk</x:t>
        </x:is>
      </x:c>
      <x:c r="L173" s="10" t="inlineStr">
        <x:is>
          <x:t xml:space="preserve">Agent G</x:t>
        </x:is>
      </x:c>
      <x:c r="M173" s="12" t="n">
        <x:v>92</x:v>
      </x:c>
      <x:c r="N173" s="45" t="n">
        <x:v>14.7</x:v>
      </x:c>
      <x:c r="O173" s="12">
        <x:f>XLOOKUP(I173,SLA_Rules!$A$4:$A$7,SLA_Rules!$B$4:$B$7,"")</x:f>
        <x:v>24</x:v>
      </x:c>
      <x:c r="P173" s="12" t="str">
        <x:f>IF(J173&lt;&gt;"Resolved","Pending",IF(N173&lt;=O173,"Yes","No"))</x:f>
        <x:v>Yes</x:v>
      </x:c>
      <x:c r="Q173" s="10" t="inlineStr">
        <x:is>
          <x:t xml:space="preserve">No</x:t>
        </x:is>
      </x:c>
      <x:c r="R173" s="12" t="n">
        <x:v>5</x:v>
      </x:c>
      <x:c r="S173" s="11" t="inlineStr">
        <x:is>
          <x:t xml:space="preserve">Pending update</x:t>
        </x:is>
      </x:c>
      <x:c r="T173" s="5" t="inlineStr">
        <x:is>
          <x:t xml:space="preserve">Completed identity validation and processed password reset successfully.</x:t>
        </x:is>
      </x:c>
      <x:c r="U173" s="44" t="n">
        <x:v>46109.50486111111</x:v>
      </x:c>
    </x:row>
    <x:row r="174">
      <x:c r="A174" s="8" t="inlineStr">
        <x:is>
          <x:t xml:space="preserve">INC-202603-0173</x:t>
        </x:is>
      </x:c>
      <x:c r="B174" s="44" t="n">
        <x:v>46092.75</x:v>
      </x:c>
      <x:c r="C174" s="10" t="inlineStr">
        <x:is>
          <x:t xml:space="preserve">India</x:t>
        </x:is>
      </x:c>
      <x:c r="D174" s="8" t="inlineStr">
        <x:is>
          <x:t xml:space="preserve">User 173</x:t>
        </x:is>
      </x:c>
      <x:c r="E174" s="11" t="inlineStr">
        <x:is>
          <x:t xml:space="preserve">Finance</x:t>
        </x:is>
      </x:c>
      <x:c r="F174" s="10" t="inlineStr">
        <x:is>
          <x:t xml:space="preserve">Web Ticket</x:t>
        </x:is>
      </x:c>
      <x:c r="G174" s="11" t="inlineStr">
        <x:is>
          <x:t xml:space="preserve">Network &amp; VPN</x:t>
        </x:is>
      </x:c>
      <x:c r="H174" s="11" t="inlineStr">
        <x:is>
          <x:t xml:space="preserve">VPN not connecting</x:t>
        </x:is>
      </x:c>
      <x:c r="I174" s="10" t="inlineStr">
        <x:is>
          <x:t xml:space="preserve">Medium</x:t>
        </x:is>
      </x:c>
      <x:c r="J174" s="10" t="inlineStr">
        <x:is>
          <x:t xml:space="preserve">Resolved</x:t>
        </x:is>
      </x:c>
      <x:c r="K174" s="11" t="inlineStr">
        <x:is>
          <x:t xml:space="preserve">L1 Endpoint Support</x:t>
        </x:is>
      </x:c>
      <x:c r="L174" s="10" t="inlineStr">
        <x:is>
          <x:t xml:space="preserve">Agent D</x:t>
        </x:is>
      </x:c>
      <x:c r="M174" s="12" t="n">
        <x:v>23</x:v>
      </x:c>
      <x:c r="N174" s="45" t="n">
        <x:v>24.8</x:v>
      </x:c>
      <x:c r="O174" s="12">
        <x:f>XLOOKUP(I174,SLA_Rules!$A$4:$A$7,SLA_Rules!$B$4:$B$7,"")</x:f>
        <x:v>16</x:v>
      </x:c>
      <x:c r="P174" s="12" t="str">
        <x:f>IF(J174&lt;&gt;"Resolved","Pending",IF(N174&lt;=O174,"Yes","No"))</x:f>
        <x:v>No</x:v>
      </x:c>
      <x:c r="Q174" s="10" t="inlineStr">
        <x:is>
          <x:t xml:space="preserve">Yes</x:t>
        </x:is>
      </x:c>
      <x:c r="R174" s="12" t="n">
        <x:v>4</x:v>
      </x:c>
      <x:c r="S174" s="11" t="inlineStr">
        <x:is>
          <x:t xml:space="preserve">Permission mismatch</x:t>
        </x:is>
      </x:c>
      <x:c r="T174" s="5" t="inlineStr">
        <x:is>
          <x:t xml:space="preserve">Checked connectivity path, reconfigured VPN settings, and confirmed stable access.</x:t>
        </x:is>
      </x:c>
      <x:c r="U174" s="44" t="n">
        <x:v>46093.78333333333</x:v>
      </x:c>
    </x:row>
    <x:row r="175">
      <x:c r="A175" s="8" t="inlineStr">
        <x:is>
          <x:t xml:space="preserve">INC-202603-0174</x:t>
        </x:is>
      </x:c>
      <x:c r="B175" s="44" t="n">
        <x:v>46092.38958333333</x:v>
      </x:c>
      <x:c r="C175" s="10" t="inlineStr">
        <x:is>
          <x:t xml:space="preserve">US</x:t>
        </x:is>
      </x:c>
      <x:c r="D175" s="8" t="inlineStr">
        <x:is>
          <x:t xml:space="preserve">User 174</x:t>
        </x:is>
      </x:c>
      <x:c r="E175" s="11" t="inlineStr">
        <x:is>
          <x:t xml:space="preserve">Risk Advisory</x:t>
        </x:is>
      </x:c>
      <x:c r="F175" s="10" t="inlineStr">
        <x:is>
          <x:t xml:space="preserve">Web Ticket</x:t>
        </x:is>
      </x:c>
      <x:c r="G175" s="11" t="inlineStr">
        <x:is>
          <x:t xml:space="preserve">Software &amp; Application</x:t>
        </x:is>
      </x:c>
      <x:c r="H175" s="11" t="inlineStr">
        <x:is>
          <x:t xml:space="preserve">License activation</x:t>
        </x:is>
      </x:c>
      <x:c r="I175" s="10" t="inlineStr">
        <x:is>
          <x:t xml:space="preserve">Medium</x:t>
        </x:is>
      </x:c>
      <x:c r="J175" s="10" t="inlineStr">
        <x:is>
          <x:t xml:space="preserve">Resolved</x:t>
        </x:is>
      </x:c>
      <x:c r="K175" s="11" t="inlineStr">
        <x:is>
          <x:t xml:space="preserve">L1 Endpoint Support</x:t>
        </x:is>
      </x:c>
      <x:c r="L175" s="10" t="inlineStr">
        <x:is>
          <x:t xml:space="preserve">Agent C</x:t>
        </x:is>
      </x:c>
      <x:c r="M175" s="12" t="n">
        <x:v>74</x:v>
      </x:c>
      <x:c r="N175" s="45" t="n">
        <x:v>4.1</x:v>
      </x:c>
      <x:c r="O175" s="12">
        <x:f>XLOOKUP(I175,SLA_Rules!$A$4:$A$7,SLA_Rules!$B$4:$B$7,"")</x:f>
        <x:v>16</x:v>
      </x:c>
      <x:c r="P175" s="12" t="str">
        <x:f>IF(J175&lt;&gt;"Resolved","Pending",IF(N175&lt;=O175,"Yes","No"))</x:f>
        <x:v>Yes</x:v>
      </x:c>
      <x:c r="Q175" s="10" t="inlineStr">
        <x:is>
          <x:t xml:space="preserve">No</x:t>
        </x:is>
      </x:c>
      <x:c r="R175" s="12" t="n">
        <x:v>5</x:v>
      </x:c>
      <x:c r="S175" s="11" t="inlineStr">
        <x:is>
          <x:t xml:space="preserve">User error</x:t>
        </x:is>
      </x:c>
      <x:c r="T175" s="5" t="inlineStr">
        <x:is>
          <x:t xml:space="preserve">Validated installation/configuration and completed application repair steps.</x:t>
        </x:is>
      </x:c>
      <x:c r="U175" s="44" t="n">
        <x:v>46092.56041666667</x:v>
      </x:c>
    </x:row>
    <x:row r="176">
      <x:c r="A176" s="8" t="inlineStr">
        <x:is>
          <x:t xml:space="preserve">INC-202603-0175</x:t>
        </x:is>
      </x:c>
      <x:c r="B176" s="44" t="n">
        <x:v>46104.20555555556</x:v>
      </x:c>
      <x:c r="C176" s="10" t="inlineStr">
        <x:is>
          <x:t xml:space="preserve">APAC</x:t>
        </x:is>
      </x:c>
      <x:c r="D176" s="8" t="inlineStr">
        <x:is>
          <x:t xml:space="preserve">User 175</x:t>
        </x:is>
      </x:c>
      <x:c r="E176" s="11" t="inlineStr">
        <x:is>
          <x:t xml:space="preserve">Audit</x:t>
        </x:is>
      </x:c>
      <x:c r="F176" s="10" t="inlineStr">
        <x:is>
          <x:t xml:space="preserve">Email</x:t>
        </x:is>
      </x:c>
      <x:c r="G176" s="11" t="inlineStr">
        <x:is>
          <x:t xml:space="preserve">Login &amp; Access</x:t>
        </x:is>
      </x:c>
      <x:c r="H176" s="11" t="inlineStr">
        <x:is>
          <x:t xml:space="preserve">Access denied</x:t>
        </x:is>
      </x:c>
      <x:c r="I176" s="10" t="inlineStr">
        <x:is>
          <x:t xml:space="preserve">Critical</x:t>
        </x:is>
      </x:c>
      <x:c r="J176" s="10" t="inlineStr">
        <x:is>
          <x:t xml:space="preserve">Resolved</x:t>
        </x:is>
      </x:c>
      <x:c r="K176" s="11" t="inlineStr">
        <x:is>
          <x:t xml:space="preserve">L1 Identity Support</x:t>
        </x:is>
      </x:c>
      <x:c r="L176" s="10" t="inlineStr">
        <x:is>
          <x:t xml:space="preserve">Agent B</x:t>
        </x:is>
      </x:c>
      <x:c r="M176" s="12" t="n">
        <x:v>11</x:v>
      </x:c>
      <x:c r="N176" s="45" t="n">
        <x:v>1.1</x:v>
      </x:c>
      <x:c r="O176" s="12">
        <x:f>XLOOKUP(I176,SLA_Rules!$A$4:$A$7,SLA_Rules!$B$4:$B$7,"")</x:f>
        <x:v>4</x:v>
      </x:c>
      <x:c r="P176" s="12" t="str">
        <x:f>IF(J176&lt;&gt;"Resolved","Pending",IF(N176&lt;=O176,"Yes","No"))</x:f>
        <x:v>Yes</x:v>
      </x:c>
      <x:c r="Q176" s="10" t="inlineStr">
        <x:is>
          <x:t xml:space="preserve">No</x:t>
        </x:is>
      </x:c>
      <x:c r="R176" s="12" t="n">
        <x:v>3</x:v>
      </x:c>
      <x:c r="S176" s="11" t="inlineStr">
        <x:is>
          <x:t xml:space="preserve">Credential issue</x:t>
        </x:is>
      </x:c>
      <x:c r="T176" s="5" t="inlineStr">
        <x:is>
          <x:t xml:space="preserve">Validated identity, restored access path, and confirmed successful login.</x:t>
        </x:is>
      </x:c>
      <x:c r="U176" s="44" t="n">
        <x:v>46104.25138888889</x:v>
      </x:c>
    </x:row>
    <x:row r="177">
      <x:c r="A177" s="8" t="inlineStr">
        <x:is>
          <x:t xml:space="preserve">INC-202603-0176</x:t>
        </x:is>
      </x:c>
      <x:c r="B177" s="44" t="n">
        <x:v>46084.92083333333</x:v>
      </x:c>
      <x:c r="C177" s="10" t="inlineStr">
        <x:is>
          <x:t xml:space="preserve">India</x:t>
        </x:is>
      </x:c>
      <x:c r="D177" s="8" t="inlineStr">
        <x:is>
          <x:t xml:space="preserve">User 176</x:t>
        </x:is>
      </x:c>
      <x:c r="E177" s="11" t="inlineStr">
        <x:is>
          <x:t xml:space="preserve">Risk Advisory</x:t>
        </x:is>
      </x:c>
      <x:c r="F177" s="10" t="inlineStr">
        <x:is>
          <x:t xml:space="preserve">Chat</x:t>
        </x:is>
      </x:c>
      <x:c r="G177" s="11" t="inlineStr">
        <x:is>
          <x:t xml:space="preserve">Email &amp; Outlook</x:t>
        </x:is>
      </x:c>
      <x:c r="H177" s="11" t="inlineStr">
        <x:is>
          <x:t xml:space="preserve">Mailbox sync delay</x:t>
        </x:is>
      </x:c>
      <x:c r="I177" s="10" t="inlineStr">
        <x:is>
          <x:t xml:space="preserve">Medium</x:t>
        </x:is>
      </x:c>
      <x:c r="J177" s="10" t="inlineStr">
        <x:is>
          <x:t xml:space="preserve">Resolved</x:t>
        </x:is>
      </x:c>
      <x:c r="K177" s="11" t="inlineStr">
        <x:is>
          <x:t xml:space="preserve">L1 Endpoint Support</x:t>
        </x:is>
      </x:c>
      <x:c r="L177" s="10" t="inlineStr">
        <x:is>
          <x:t xml:space="preserve">Agent F</x:t>
        </x:is>
      </x:c>
      <x:c r="M177" s="12" t="n">
        <x:v>28</x:v>
      </x:c>
      <x:c r="N177" s="45" t="n">
        <x:v>8.5</x:v>
      </x:c>
      <x:c r="O177" s="12">
        <x:f>XLOOKUP(I177,SLA_Rules!$A$4:$A$7,SLA_Rules!$B$4:$B$7,"")</x:f>
        <x:v>16</x:v>
      </x:c>
      <x:c r="P177" s="12" t="str">
        <x:f>IF(J177&lt;&gt;"Resolved","Pending",IF(N177&lt;=O177,"Yes","No"))</x:f>
        <x:v>Yes</x:v>
      </x:c>
      <x:c r="Q177" s="10" t="inlineStr">
        <x:is>
          <x:t xml:space="preserve">No</x:t>
        </x:is>
      </x:c>
      <x:c r="R177" s="12" t="n">
        <x:v>5</x:v>
      </x:c>
      <x:c r="S177" s="11" t="inlineStr">
        <x:is>
          <x:t xml:space="preserve">Driver problem</x:t>
        </x:is>
      </x:c>
      <x:c r="T177" s="5" t="inlineStr">
        <x:is>
          <x:t xml:space="preserve">Cleared profile/cache and validated mailbox connectivity with user.</x:t>
        </x:is>
      </x:c>
      <x:c r="U177" s="44" t="n">
        <x:v>46085.275</x:v>
      </x:c>
    </x:row>
    <x:row r="178">
      <x:c r="A178" s="8" t="inlineStr">
        <x:is>
          <x:t xml:space="preserve">INC-202603-0177</x:t>
        </x:is>
      </x:c>
      <x:c r="B178" s="44" t="n">
        <x:v>46084.30833333333</x:v>
      </x:c>
      <x:c r="C178" s="10" t="inlineStr">
        <x:is>
          <x:t xml:space="preserve">APAC</x:t>
        </x:is>
      </x:c>
      <x:c r="D178" s="8" t="inlineStr">
        <x:is>
          <x:t xml:space="preserve">User 177</x:t>
        </x:is>
      </x:c>
      <x:c r="E178" s="11" t="inlineStr">
        <x:is>
          <x:t xml:space="preserve">HR</x:t>
        </x:is>
      </x:c>
      <x:c r="F178" s="10" t="inlineStr">
        <x:is>
          <x:t xml:space="preserve">Web Ticket</x:t>
        </x:is>
      </x:c>
      <x:c r="G178" s="11" t="inlineStr">
        <x:is>
          <x:t xml:space="preserve">Software &amp; Application</x:t>
        </x:is>
      </x:c>
      <x:c r="H178" s="11" t="inlineStr">
        <x:is>
          <x:t xml:space="preserve">App crash</x:t>
        </x:is>
      </x:c>
      <x:c r="I178" s="10" t="inlineStr">
        <x:is>
          <x:t xml:space="preserve">Medium</x:t>
        </x:is>
      </x:c>
      <x:c r="J178" s="10" t="inlineStr">
        <x:is>
          <x:t xml:space="preserve">Resolved</x:t>
        </x:is>
      </x:c>
      <x:c r="K178" s="11" t="inlineStr">
        <x:is>
          <x:t xml:space="preserve">L1 Identity Support</x:t>
        </x:is>
      </x:c>
      <x:c r="L178" s="10" t="inlineStr">
        <x:is>
          <x:t xml:space="preserve">Agent D</x:t>
        </x:is>
      </x:c>
      <x:c r="M178" s="12" t="n">
        <x:v>25</x:v>
      </x:c>
      <x:c r="N178" s="45" t="n">
        <x:v>12.7</x:v>
      </x:c>
      <x:c r="O178" s="12">
        <x:f>XLOOKUP(I178,SLA_Rules!$A$4:$A$7,SLA_Rules!$B$4:$B$7,"")</x:f>
        <x:v>16</x:v>
      </x:c>
      <x:c r="P178" s="12" t="str">
        <x:f>IF(J178&lt;&gt;"Resolved","Pending",IF(N178&lt;=O178,"Yes","No"))</x:f>
        <x:v>Yes</x:v>
      </x:c>
      <x:c r="Q178" s="10" t="inlineStr">
        <x:is>
          <x:t xml:space="preserve">No</x:t>
        </x:is>
      </x:c>
      <x:c r="R178" s="12" t="n">
        <x:v>4</x:v>
      </x:c>
      <x:c r="S178" s="11" t="inlineStr">
        <x:is>
          <x:t xml:space="preserve">Expired password</x:t>
        </x:is>
      </x:c>
      <x:c r="T178" s="5" t="inlineStr">
        <x:is>
          <x:t xml:space="preserve">Validated installation/configuration and completed application repair steps.</x:t>
        </x:is>
      </x:c>
      <x:c r="U178" s="44" t="n">
        <x:v>46084.8375</x:v>
      </x:c>
    </x:row>
    <x:row r="179">
      <x:c r="A179" s="8" t="inlineStr">
        <x:is>
          <x:t xml:space="preserve">INC-202603-0178</x:t>
        </x:is>
      </x:c>
      <x:c r="B179" s="44" t="n">
        <x:v>46105.27777777778</x:v>
      </x:c>
      <x:c r="C179" s="10" t="inlineStr">
        <x:is>
          <x:t xml:space="preserve">US</x:t>
        </x:is>
      </x:c>
      <x:c r="D179" s="8" t="inlineStr">
        <x:is>
          <x:t xml:space="preserve">User 178</x:t>
        </x:is>
      </x:c>
      <x:c r="E179" s="11" t="inlineStr">
        <x:is>
          <x:t xml:space="preserve">Consulting</x:t>
        </x:is>
      </x:c>
      <x:c r="F179" s="10" t="inlineStr">
        <x:is>
          <x:t xml:space="preserve">Chat</x:t>
        </x:is>
      </x:c>
      <x:c r="G179" s="11" t="inlineStr">
        <x:is>
          <x:t xml:space="preserve">Login &amp; Access</x:t>
        </x:is>
      </x:c>
      <x:c r="H179" s="11" t="inlineStr">
        <x:is>
          <x:t xml:space="preserve">SSO failure</x:t>
        </x:is>
      </x:c>
      <x:c r="I179" s="10" t="inlineStr">
        <x:is>
          <x:t xml:space="preserve">High</x:t>
        </x:is>
      </x:c>
      <x:c r="J179" s="10" t="inlineStr">
        <x:is>
          <x:t xml:space="preserve">Resolved</x:t>
        </x:is>
      </x:c>
      <x:c r="K179" s="11" t="inlineStr">
        <x:is>
          <x:t xml:space="preserve">L1 Identity Support</x:t>
        </x:is>
      </x:c>
      <x:c r="L179" s="10" t="inlineStr">
        <x:is>
          <x:t xml:space="preserve">Agent C</x:t>
        </x:is>
      </x:c>
      <x:c r="M179" s="12" t="n">
        <x:v>34</x:v>
      </x:c>
      <x:c r="N179" s="45" t="n">
        <x:v>7.1</x:v>
      </x:c>
      <x:c r="O179" s="12">
        <x:f>XLOOKUP(I179,SLA_Rules!$A$4:$A$7,SLA_Rules!$B$4:$B$7,"")</x:f>
        <x:v>8</x:v>
      </x:c>
      <x:c r="P179" s="12" t="str">
        <x:f>IF(J179&lt;&gt;"Resolved","Pending",IF(N179&lt;=O179,"Yes","No"))</x:f>
        <x:v>Yes</x:v>
      </x:c>
      <x:c r="Q179" s="10" t="inlineStr">
        <x:is>
          <x:t xml:space="preserve">No</x:t>
        </x:is>
      </x:c>
      <x:c r="R179" s="12" t="n">
        <x:v>5</x:v>
      </x:c>
      <x:c r="S179" s="11" t="inlineStr">
        <x:is>
          <x:t xml:space="preserve">Credential issue</x:t>
        </x:is>
      </x:c>
      <x:c r="T179" s="5" t="inlineStr">
        <x:is>
          <x:t xml:space="preserve">Validated identity, restored access path, and confirmed successful login.</x:t>
        </x:is>
      </x:c>
      <x:c r="U179" s="44" t="n">
        <x:v>46105.57361111111</x:v>
      </x:c>
    </x:row>
    <x:row r="180">
      <x:c r="A180" s="8" t="inlineStr">
        <x:is>
          <x:t xml:space="preserve">INC-202603-0179</x:t>
        </x:is>
      </x:c>
      <x:c r="B180" s="44" t="n">
        <x:v>46102.09375</x:v>
      </x:c>
      <x:c r="C180" s="10" t="inlineStr">
        <x:is>
          <x:t xml:space="preserve">US</x:t>
        </x:is>
      </x:c>
      <x:c r="D180" s="8" t="inlineStr">
        <x:is>
          <x:t xml:space="preserve">User 179</x:t>
        </x:is>
      </x:c>
      <x:c r="E180" s="11" t="inlineStr">
        <x:is>
          <x:t xml:space="preserve">Consulting</x:t>
        </x:is>
      </x:c>
      <x:c r="F180" s="10" t="inlineStr">
        <x:is>
          <x:t xml:space="preserve">Email</x:t>
        </x:is>
      </x:c>
      <x:c r="G180" s="11" t="inlineStr">
        <x:is>
          <x:t xml:space="preserve">Login &amp; Access</x:t>
        </x:is>
      </x:c>
      <x:c r="H180" s="11" t="inlineStr">
        <x:is>
          <x:t xml:space="preserve">Account locked</x:t>
        </x:is>
      </x:c>
      <x:c r="I180" s="10" t="inlineStr">
        <x:is>
          <x:t xml:space="preserve">High</x:t>
        </x:is>
      </x:c>
      <x:c r="J180" s="10" t="inlineStr">
        <x:is>
          <x:t xml:space="preserve">Resolved</x:t>
        </x:is>
      </x:c>
      <x:c r="K180" s="11" t="inlineStr">
        <x:is>
          <x:t xml:space="preserve">L1 Global Service Desk</x:t>
        </x:is>
      </x:c>
      <x:c r="L180" s="10" t="inlineStr">
        <x:is>
          <x:t xml:space="preserve">Agent C</x:t>
        </x:is>
      </x:c>
      <x:c r="M180" s="12" t="n">
        <x:v>24</x:v>
      </x:c>
      <x:c r="N180" s="45" t="n">
        <x:v>5</x:v>
      </x:c>
      <x:c r="O180" s="12">
        <x:f>XLOOKUP(I180,SLA_Rules!$A$4:$A$7,SLA_Rules!$B$4:$B$7,"")</x:f>
        <x:v>8</x:v>
      </x:c>
      <x:c r="P180" s="12" t="str">
        <x:f>IF(J180&lt;&gt;"Resolved","Pending",IF(N180&lt;=O180,"Yes","No"))</x:f>
        <x:v>Yes</x:v>
      </x:c>
      <x:c r="Q180" s="10" t="inlineStr">
        <x:is>
          <x:t xml:space="preserve">No</x:t>
        </x:is>
      </x:c>
      <x:c r="R180" s="12" t="n">
        <x:v>5</x:v>
      </x:c>
      <x:c r="S180" s="11" t="inlineStr">
        <x:is>
          <x:t xml:space="preserve">Expired password</x:t>
        </x:is>
      </x:c>
      <x:c r="T180" s="5" t="inlineStr">
        <x:is>
          <x:t xml:space="preserve">Validated identity, restored access path, and confirmed successful login.</x:t>
        </x:is>
      </x:c>
      <x:c r="U180" s="44" t="n">
        <x:v>46102.30208333334</x:v>
      </x:c>
    </x:row>
    <x:row r="181">
      <x:c r="A181" s="8" t="inlineStr">
        <x:is>
          <x:t xml:space="preserve">INC-202603-0180</x:t>
        </x:is>
      </x:c>
      <x:c r="B181" s="44" t="n">
        <x:v>46085.31319444445</x:v>
      </x:c>
      <x:c r="C181" s="10" t="inlineStr">
        <x:is>
          <x:t xml:space="preserve">US</x:t>
        </x:is>
      </x:c>
      <x:c r="D181" s="8" t="inlineStr">
        <x:is>
          <x:t xml:space="preserve">User 180</x:t>
        </x:is>
      </x:c>
      <x:c r="E181" s="11" t="inlineStr">
        <x:is>
          <x:t xml:space="preserve">Risk Advisory</x:t>
        </x:is>
      </x:c>
      <x:c r="F181" s="10" t="inlineStr">
        <x:is>
          <x:t xml:space="preserve">Chat</x:t>
        </x:is>
      </x:c>
      <x:c r="G181" s="11" t="inlineStr">
        <x:is>
          <x:t xml:space="preserve">Login &amp; Access</x:t>
        </x:is>
      </x:c>
      <x:c r="H181" s="11" t="inlineStr">
        <x:is>
          <x:t xml:space="preserve">Shared drive permission</x:t>
        </x:is>
      </x:c>
      <x:c r="I181" s="10" t="inlineStr">
        <x:is>
          <x:t xml:space="preserve">High</x:t>
        </x:is>
      </x:c>
      <x:c r="J181" s="10" t="inlineStr">
        <x:is>
          <x:t xml:space="preserve">Resolved</x:t>
        </x:is>
      </x:c>
      <x:c r="K181" s="11" t="inlineStr">
        <x:is>
          <x:t xml:space="preserve">L1 Identity Support</x:t>
        </x:is>
      </x:c>
      <x:c r="L181" s="10" t="inlineStr">
        <x:is>
          <x:t xml:space="preserve">Agent D</x:t>
        </x:is>
      </x:c>
      <x:c r="M181" s="12" t="n">
        <x:v>6</x:v>
      </x:c>
      <x:c r="N181" s="45" t="n">
        <x:v>1.7</x:v>
      </x:c>
      <x:c r="O181" s="12">
        <x:f>XLOOKUP(I181,SLA_Rules!$A$4:$A$7,SLA_Rules!$B$4:$B$7,"")</x:f>
        <x:v>8</x:v>
      </x:c>
      <x:c r="P181" s="12" t="str">
        <x:f>IF(J181&lt;&gt;"Resolved","Pending",IF(N181&lt;=O181,"Yes","No"))</x:f>
        <x:v>Yes</x:v>
      </x:c>
      <x:c r="Q181" s="10" t="inlineStr">
        <x:is>
          <x:t xml:space="preserve">No</x:t>
        </x:is>
      </x:c>
      <x:c r="R181" s="12" t="n">
        <x:v>5</x:v>
      </x:c>
      <x:c r="S181" s="11" t="inlineStr">
        <x:is>
          <x:t xml:space="preserve">Configuration drift</x:t>
        </x:is>
      </x:c>
      <x:c r="T181" s="5" t="inlineStr">
        <x:is>
          <x:t xml:space="preserve">Validated identity, restored access path, and confirmed successful login.</x:t>
        </x:is>
      </x:c>
      <x:c r="U181" s="44" t="n">
        <x:v>46085.38402777778</x:v>
      </x:c>
    </x:row>
    <x:row r="182">
      <x:c r="A182" s="8" t="inlineStr">
        <x:is>
          <x:t xml:space="preserve">INC-202603-0181</x:t>
        </x:is>
      </x:c>
      <x:c r="B182" s="44" t="n">
        <x:v>46084.01111111111</x:v>
      </x:c>
      <x:c r="C182" s="10" t="inlineStr">
        <x:is>
          <x:t xml:space="preserve">UK</x:t>
        </x:is>
      </x:c>
      <x:c r="D182" s="8" t="inlineStr">
        <x:is>
          <x:t xml:space="preserve">User 181</x:t>
        </x:is>
      </x:c>
      <x:c r="E182" s="11" t="inlineStr">
        <x:is>
          <x:t xml:space="preserve">Tax</x:t>
        </x:is>
      </x:c>
      <x:c r="F182" s="10" t="inlineStr">
        <x:is>
          <x:t xml:space="preserve">Chat</x:t>
        </x:is>
      </x:c>
      <x:c r="G182" s="11" t="inlineStr">
        <x:is>
          <x:t xml:space="preserve">Email &amp; Outlook</x:t>
        </x:is>
      </x:c>
      <x:c r="H182" s="11" t="inlineStr">
        <x:is>
          <x:t xml:space="preserve">Search not working</x:t>
        </x:is>
      </x:c>
      <x:c r="I182" s="10" t="inlineStr">
        <x:is>
          <x:t xml:space="preserve">Low</x:t>
        </x:is>
      </x:c>
      <x:c r="J182" s="10" t="inlineStr">
        <x:is>
          <x:t xml:space="preserve">Resolved</x:t>
        </x:is>
      </x:c>
      <x:c r="K182" s="11" t="inlineStr">
        <x:is>
          <x:t xml:space="preserve">L1 Global Service Desk</x:t>
        </x:is>
      </x:c>
      <x:c r="L182" s="10" t="inlineStr">
        <x:is>
          <x:t xml:space="preserve">Agent E</x:t>
        </x:is>
      </x:c>
      <x:c r="M182" s="12" t="n">
        <x:v>125</x:v>
      </x:c>
      <x:c r="N182" s="45" t="n">
        <x:v>21.3</x:v>
      </x:c>
      <x:c r="O182" s="12">
        <x:f>XLOOKUP(I182,SLA_Rules!$A$4:$A$7,SLA_Rules!$B$4:$B$7,"")</x:f>
        <x:v>24</x:v>
      </x:c>
      <x:c r="P182" s="12" t="str">
        <x:f>IF(J182&lt;&gt;"Resolved","Pending",IF(N182&lt;=O182,"Yes","No"))</x:f>
        <x:v>Yes</x:v>
      </x:c>
      <x:c r="Q182" s="10" t="inlineStr">
        <x:is>
          <x:t xml:space="preserve">No</x:t>
        </x:is>
      </x:c>
      <x:c r="R182" s="12" t="n">
        <x:v>5</x:v>
      </x:c>
      <x:c r="S182" s="11" t="inlineStr">
        <x:is>
          <x:t xml:space="preserve">Driver problem</x:t>
        </x:is>
      </x:c>
      <x:c r="T182" s="5" t="inlineStr">
        <x:is>
          <x:t xml:space="preserve">Cleared profile/cache and validated mailbox connectivity with user.</x:t>
        </x:is>
      </x:c>
      <x:c r="U182" s="44" t="n">
        <x:v>46084.89861111111</x:v>
      </x:c>
    </x:row>
    <x:row r="183">
      <x:c r="A183" s="8" t="inlineStr">
        <x:is>
          <x:t xml:space="preserve">INC-202603-0182</x:t>
        </x:is>
      </x:c>
      <x:c r="B183" s="44" t="n">
        <x:v>46084.70694444444</x:v>
      </x:c>
      <x:c r="C183" s="10" t="inlineStr">
        <x:is>
          <x:t xml:space="preserve">US</x:t>
        </x:is>
      </x:c>
      <x:c r="D183" s="8" t="inlineStr">
        <x:is>
          <x:t xml:space="preserve">User 182</x:t>
        </x:is>
      </x:c>
      <x:c r="E183" s="11" t="inlineStr">
        <x:is>
          <x:t xml:space="preserve">Internal Services</x:t>
        </x:is>
      </x:c>
      <x:c r="F183" s="10" t="inlineStr">
        <x:is>
          <x:t xml:space="preserve">Chat</x:t>
        </x:is>
      </x:c>
      <x:c r="G183" s="11" t="inlineStr">
        <x:is>
          <x:t xml:space="preserve">Hardware</x:t>
        </x:is>
      </x:c>
      <x:c r="H183" s="11" t="inlineStr">
        <x:is>
          <x:t xml:space="preserve">Docking station issue</x:t>
        </x:is>
      </x:c>
      <x:c r="I183" s="10" t="inlineStr">
        <x:is>
          <x:t xml:space="preserve">Medium</x:t>
        </x:is>
      </x:c>
      <x:c r="J183" s="10" t="inlineStr">
        <x:is>
          <x:t xml:space="preserve">Resolved</x:t>
        </x:is>
      </x:c>
      <x:c r="K183" s="11" t="inlineStr">
        <x:is>
          <x:t xml:space="preserve">L1 Global Service Desk</x:t>
        </x:is>
      </x:c>
      <x:c r="L183" s="10" t="inlineStr">
        <x:is>
          <x:t xml:space="preserve">Agent C</x:t>
        </x:is>
      </x:c>
      <x:c r="M183" s="12" t="n">
        <x:v>53</x:v>
      </x:c>
      <x:c r="N183" s="45" t="n">
        <x:v>12.7</x:v>
      </x:c>
      <x:c r="O183" s="12">
        <x:f>XLOOKUP(I183,SLA_Rules!$A$4:$A$7,SLA_Rules!$B$4:$B$7,"")</x:f>
        <x:v>16</x:v>
      </x:c>
      <x:c r="P183" s="12" t="str">
        <x:f>IF(J183&lt;&gt;"Resolved","Pending",IF(N183&lt;=O183,"Yes","No"))</x:f>
        <x:v>Yes</x:v>
      </x:c>
      <x:c r="Q183" s="10" t="inlineStr">
        <x:is>
          <x:t xml:space="preserve">No</x:t>
        </x:is>
      </x:c>
      <x:c r="R183" s="12" t="n">
        <x:v>4</x:v>
      </x:c>
      <x:c r="S183" s="11" t="inlineStr">
        <x:is>
          <x:t xml:space="preserve">Credential issue</x:t>
        </x:is>
      </x:c>
      <x:c r="T183" s="5" t="inlineStr">
        <x:is>
          <x:t xml:space="preserve">Ran endpoint checks and provided workaround or hardware escalation as needed.</x:t>
        </x:is>
      </x:c>
      <x:c r="U183" s="44" t="n">
        <x:v>46085.23611111111</x:v>
      </x:c>
    </x:row>
    <x:row r="184">
      <x:c r="A184" s="8" t="inlineStr">
        <x:is>
          <x:t xml:space="preserve">INC-202603-0183</x:t>
        </x:is>
      </x:c>
      <x:c r="B184" s="44" t="n">
        <x:v>46083.40416666667</x:v>
      </x:c>
      <x:c r="C184" s="10" t="inlineStr">
        <x:is>
          <x:t xml:space="preserve">India</x:t>
        </x:is>
      </x:c>
      <x:c r="D184" s="8" t="inlineStr">
        <x:is>
          <x:t xml:space="preserve">User 183</x:t>
        </x:is>
      </x:c>
      <x:c r="E184" s="11" t="inlineStr">
        <x:is>
          <x:t xml:space="preserve">Operations</x:t>
        </x:is>
      </x:c>
      <x:c r="F184" s="10" t="inlineStr">
        <x:is>
          <x:t xml:space="preserve">Email</x:t>
        </x:is>
      </x:c>
      <x:c r="G184" s="11" t="inlineStr">
        <x:is>
          <x:t xml:space="preserve">Email &amp; Outlook</x:t>
        </x:is>
      </x:c>
      <x:c r="H184" s="11" t="inlineStr">
        <x:is>
          <x:t xml:space="preserve">Calendar invite issue</x:t>
        </x:is>
      </x:c>
      <x:c r="I184" s="10" t="inlineStr">
        <x:is>
          <x:t xml:space="preserve">Medium</x:t>
        </x:is>
      </x:c>
      <x:c r="J184" s="10" t="inlineStr">
        <x:is>
          <x:t xml:space="preserve">Resolved</x:t>
        </x:is>
      </x:c>
      <x:c r="K184" s="11" t="inlineStr">
        <x:is>
          <x:t xml:space="preserve">L1 Network Support</x:t>
        </x:is>
      </x:c>
      <x:c r="L184" s="10" t="inlineStr">
        <x:is>
          <x:t xml:space="preserve">Agent E</x:t>
        </x:is>
      </x:c>
      <x:c r="M184" s="12" t="n">
        <x:v>27</x:v>
      </x:c>
      <x:c r="N184" s="45" t="n">
        <x:v>11.9</x:v>
      </x:c>
      <x:c r="O184" s="12">
        <x:f>XLOOKUP(I184,SLA_Rules!$A$4:$A$7,SLA_Rules!$B$4:$B$7,"")</x:f>
        <x:v>16</x:v>
      </x:c>
      <x:c r="P184" s="12" t="str">
        <x:f>IF(J184&lt;&gt;"Resolved","Pending",IF(N184&lt;=O184,"Yes","No"))</x:f>
        <x:v>Yes</x:v>
      </x:c>
      <x:c r="Q184" s="10" t="inlineStr">
        <x:is>
          <x:t xml:space="preserve">No</x:t>
        </x:is>
      </x:c>
      <x:c r="R184" s="12" t="n">
        <x:v>3</x:v>
      </x:c>
      <x:c r="S184" s="11" t="inlineStr">
        <x:is>
          <x:t xml:space="preserve">Configuration drift</x:t>
        </x:is>
      </x:c>
      <x:c r="T184" s="5" t="inlineStr">
        <x:is>
          <x:t xml:space="preserve">Cleared profile/cache and validated mailbox connectivity with user.</x:t>
        </x:is>
      </x:c>
      <x:c r="U184" s="44" t="n">
        <x:v>46083.9</x:v>
      </x:c>
    </x:row>
    <x:row r="185">
      <x:c r="A185" s="8" t="inlineStr">
        <x:is>
          <x:t xml:space="preserve">INC-202603-0184</x:t>
        </x:is>
      </x:c>
      <x:c r="B185" s="44" t="n">
        <x:v>46086.99236111111</x:v>
      </x:c>
      <x:c r="C185" s="10" t="inlineStr">
        <x:is>
          <x:t xml:space="preserve">US</x:t>
        </x:is>
      </x:c>
      <x:c r="D185" s="8" t="inlineStr">
        <x:is>
          <x:t xml:space="preserve">User 184</x:t>
        </x:is>
      </x:c>
      <x:c r="E185" s="11" t="inlineStr">
        <x:is>
          <x:t xml:space="preserve">Internal Services</x:t>
        </x:is>
      </x:c>
      <x:c r="F185" s="10" t="inlineStr">
        <x:is>
          <x:t xml:space="preserve">Chat</x:t>
        </x:is>
      </x:c>
      <x:c r="G185" s="11" t="inlineStr">
        <x:is>
          <x:t xml:space="preserve">Software &amp; Application</x:t>
        </x:is>
      </x:c>
      <x:c r="H185" s="11" t="inlineStr">
        <x:is>
          <x:t xml:space="preserve">Install failed</x:t>
        </x:is>
      </x:c>
      <x:c r="I185" s="10" t="inlineStr">
        <x:is>
          <x:t xml:space="preserve">Medium</x:t>
        </x:is>
      </x:c>
      <x:c r="J185" s="10" t="inlineStr">
        <x:is>
          <x:t xml:space="preserve">Pending User</x:t>
        </x:is>
      </x:c>
      <x:c r="K185" s="11" t="inlineStr">
        <x:is>
          <x:t xml:space="preserve">L1 Identity Support</x:t>
        </x:is>
      </x:c>
      <x:c r="L185" s="10" t="inlineStr">
        <x:is>
          <x:t xml:space="preserve">Agent C</x:t>
        </x:is>
      </x:c>
      <x:c r="M185" s="12" t="n">
        <x:v>52</x:v>
      </x:c>
      <x:c r="N185" s="12" t="n"/>
      <x:c r="O185" s="12">
        <x:f>XLOOKUP(I185,SLA_Rules!$A$4:$A$7,SLA_Rules!$B$4:$B$7,"")</x:f>
        <x:v>16</x:v>
      </x:c>
      <x:c r="P185" s="12" t="str">
        <x:f>IF(J185&lt;&gt;"Resolved","Pending",IF(N185&lt;=O185,"Yes","No"))</x:f>
        <x:v>Pending</x:v>
      </x:c>
      <x:c r="Q185" s="10" t="inlineStr">
        <x:is>
          <x:t xml:space="preserve">No</x:t>
        </x:is>
      </x:c>
      <x:c r="R185" s="12" t="n"/>
      <x:c r="S185" s="11" t="inlineStr">
        <x:is>
          <x:t xml:space="preserve">Credential issue</x:t>
        </x:is>
      </x:c>
      <x:c r="T185" s="5" t="inlineStr">
        <x:is>
          <x:t xml:space="preserve">Validated installation/configuration and completed application repair steps.</x:t>
        </x:is>
      </x:c>
      <x:c r="U185" s="8" t="n"/>
    </x:row>
    <x:row r="186">
      <x:c r="A186" s="8" t="inlineStr">
        <x:is>
          <x:t xml:space="preserve">INC-202603-0185</x:t>
        </x:is>
      </x:c>
      <x:c r="B186" s="44" t="n">
        <x:v>46098.46041666667</x:v>
      </x:c>
      <x:c r="C186" s="10" t="inlineStr">
        <x:is>
          <x:t xml:space="preserve">India</x:t>
        </x:is>
      </x:c>
      <x:c r="D186" s="8" t="inlineStr">
        <x:is>
          <x:t xml:space="preserve">User 185</x:t>
        </x:is>
      </x:c>
      <x:c r="E186" s="11" t="inlineStr">
        <x:is>
          <x:t xml:space="preserve">Tax</x:t>
        </x:is>
      </x:c>
      <x:c r="F186" s="10" t="inlineStr">
        <x:is>
          <x:t xml:space="preserve">Phone</x:t>
        </x:is>
      </x:c>
      <x:c r="G186" s="11" t="inlineStr">
        <x:is>
          <x:t xml:space="preserve">Hardware</x:t>
        </x:is>
      </x:c>
      <x:c r="H186" s="11" t="inlineStr">
        <x:is>
          <x:t xml:space="preserve">Laptop slow</x:t>
        </x:is>
      </x:c>
      <x:c r="I186" s="10" t="inlineStr">
        <x:is>
          <x:t xml:space="preserve">Low</x:t>
        </x:is>
      </x:c>
      <x:c r="J186" s="10" t="inlineStr">
        <x:is>
          <x:t xml:space="preserve">Resolved</x:t>
        </x:is>
      </x:c>
      <x:c r="K186" s="11" t="inlineStr">
        <x:is>
          <x:t xml:space="preserve">L1 Endpoint Support</x:t>
        </x:is>
      </x:c>
      <x:c r="L186" s="10" t="inlineStr">
        <x:is>
          <x:t xml:space="preserve">Agent D</x:t>
        </x:is>
      </x:c>
      <x:c r="M186" s="12" t="n">
        <x:v>118</x:v>
      </x:c>
      <x:c r="N186" s="45" t="n">
        <x:v>14.5</x:v>
      </x:c>
      <x:c r="O186" s="12">
        <x:f>XLOOKUP(I186,SLA_Rules!$A$4:$A$7,SLA_Rules!$B$4:$B$7,"")</x:f>
        <x:v>24</x:v>
      </x:c>
      <x:c r="P186" s="12" t="str">
        <x:f>IF(J186&lt;&gt;"Resolved","Pending",IF(N186&lt;=O186,"Yes","No"))</x:f>
        <x:v>Yes</x:v>
      </x:c>
      <x:c r="Q186" s="10" t="inlineStr">
        <x:is>
          <x:t xml:space="preserve">No</x:t>
        </x:is>
      </x:c>
      <x:c r="R186" s="12" t="n">
        <x:v>4</x:v>
      </x:c>
      <x:c r="S186" s="11" t="inlineStr">
        <x:is>
          <x:t xml:space="preserve">Credential issue</x:t>
        </x:is>
      </x:c>
      <x:c r="T186" s="5" t="inlineStr">
        <x:is>
          <x:t xml:space="preserve">Ran endpoint checks and provided workaround or hardware escalation as needed.</x:t>
        </x:is>
      </x:c>
      <x:c r="U186" s="44" t="n">
        <x:v>46099.06458333333</x:v>
      </x:c>
    </x:row>
    <x:row r="187">
      <x:c r="A187" s="8" t="inlineStr">
        <x:is>
          <x:t xml:space="preserve">INC-202603-0186</x:t>
        </x:is>
      </x:c>
      <x:c r="B187" s="44" t="n">
        <x:v>46097.475</x:v>
      </x:c>
      <x:c r="C187" s="10" t="inlineStr">
        <x:is>
          <x:t xml:space="preserve">India</x:t>
        </x:is>
      </x:c>
      <x:c r="D187" s="8" t="inlineStr">
        <x:is>
          <x:t xml:space="preserve">User 186</x:t>
        </x:is>
      </x:c>
      <x:c r="E187" s="11" t="inlineStr">
        <x:is>
          <x:t xml:space="preserve">Audit</x:t>
        </x:is>
      </x:c>
      <x:c r="F187" s="10" t="inlineStr">
        <x:is>
          <x:t xml:space="preserve">Chat</x:t>
        </x:is>
      </x:c>
      <x:c r="G187" s="11" t="inlineStr">
        <x:is>
          <x:t xml:space="preserve">Password Reset</x:t>
        </x:is>
      </x:c>
      <x:c r="H187" s="11" t="inlineStr">
        <x:is>
          <x:t xml:space="preserve">Password expired</x:t>
        </x:is>
      </x:c>
      <x:c r="I187" s="10" t="inlineStr">
        <x:is>
          <x:t xml:space="preserve">Low</x:t>
        </x:is>
      </x:c>
      <x:c r="J187" s="10" t="inlineStr">
        <x:is>
          <x:t xml:space="preserve">Resolved</x:t>
        </x:is>
      </x:c>
      <x:c r="K187" s="11" t="inlineStr">
        <x:is>
          <x:t xml:space="preserve">L1 Global Service Desk</x:t>
        </x:is>
      </x:c>
      <x:c r="L187" s="10" t="inlineStr">
        <x:is>
          <x:t xml:space="preserve">Agent A</x:t>
        </x:is>
      </x:c>
      <x:c r="M187" s="12" t="n">
        <x:v>33</x:v>
      </x:c>
      <x:c r="N187" s="45" t="n">
        <x:v>28.8</x:v>
      </x:c>
      <x:c r="O187" s="12">
        <x:f>XLOOKUP(I187,SLA_Rules!$A$4:$A$7,SLA_Rules!$B$4:$B$7,"")</x:f>
        <x:v>24</x:v>
      </x:c>
      <x:c r="P187" s="12" t="str">
        <x:f>IF(J187&lt;&gt;"Resolved","Pending",IF(N187&lt;=O187,"Yes","No"))</x:f>
        <x:v>No</x:v>
      </x:c>
      <x:c r="Q187" s="10" t="inlineStr">
        <x:is>
          <x:t xml:space="preserve">Yes</x:t>
        </x:is>
      </x:c>
      <x:c r="R187" s="12" t="n">
        <x:v>4</x:v>
      </x:c>
      <x:c r="S187" s="11" t="inlineStr">
        <x:is>
          <x:t xml:space="preserve">Pending update</x:t>
        </x:is>
      </x:c>
      <x:c r="T187" s="5" t="inlineStr">
        <x:is>
          <x:t xml:space="preserve">Completed identity validation and processed password reset successfully.</x:t>
        </x:is>
      </x:c>
      <x:c r="U187" s="44" t="n">
        <x:v>46098.675</x:v>
      </x:c>
    </x:row>
    <x:row r="188">
      <x:c r="A188" s="8" t="inlineStr">
        <x:is>
          <x:t xml:space="preserve">INC-202603-0187</x:t>
        </x:is>
      </x:c>
      <x:c r="B188" s="44" t="n">
        <x:v>46103.04930555556</x:v>
      </x:c>
      <x:c r="C188" s="10" t="inlineStr">
        <x:is>
          <x:t xml:space="preserve">India</x:t>
        </x:is>
      </x:c>
      <x:c r="D188" s="8" t="inlineStr">
        <x:is>
          <x:t xml:space="preserve">User 187</x:t>
        </x:is>
      </x:c>
      <x:c r="E188" s="11" t="inlineStr">
        <x:is>
          <x:t xml:space="preserve">Finance</x:t>
        </x:is>
      </x:c>
      <x:c r="F188" s="10" t="inlineStr">
        <x:is>
          <x:t xml:space="preserve">Chat</x:t>
        </x:is>
      </x:c>
      <x:c r="G188" s="11" t="inlineStr">
        <x:is>
          <x:t xml:space="preserve">Email &amp; Outlook</x:t>
        </x:is>
      </x:c>
      <x:c r="H188" s="11" t="inlineStr">
        <x:is>
          <x:t xml:space="preserve">Mailbox sync delay</x:t>
        </x:is>
      </x:c>
      <x:c r="I188" s="10" t="inlineStr">
        <x:is>
          <x:t xml:space="preserve">Low</x:t>
        </x:is>
      </x:c>
      <x:c r="J188" s="10" t="inlineStr">
        <x:is>
          <x:t xml:space="preserve">Open</x:t>
        </x:is>
      </x:c>
      <x:c r="K188" s="11" t="inlineStr">
        <x:is>
          <x:t xml:space="preserve">L1 Global Service Desk</x:t>
        </x:is>
      </x:c>
      <x:c r="L188" s="10" t="inlineStr">
        <x:is>
          <x:t xml:space="preserve">Agent E</x:t>
        </x:is>
      </x:c>
      <x:c r="M188" s="12" t="n">
        <x:v>93</x:v>
      </x:c>
      <x:c r="N188" s="12" t="n"/>
      <x:c r="O188" s="12">
        <x:f>XLOOKUP(I188,SLA_Rules!$A$4:$A$7,SLA_Rules!$B$4:$B$7,"")</x:f>
        <x:v>24</x:v>
      </x:c>
      <x:c r="P188" s="12" t="str">
        <x:f>IF(J188&lt;&gt;"Resolved","Pending",IF(N188&lt;=O188,"Yes","No"))</x:f>
        <x:v>Pending</x:v>
      </x:c>
      <x:c r="Q188" s="10" t="inlineStr">
        <x:is>
          <x:t xml:space="preserve">No</x:t>
        </x:is>
      </x:c>
      <x:c r="R188" s="12" t="n"/>
      <x:c r="S188" s="11" t="inlineStr">
        <x:is>
          <x:t xml:space="preserve">User error</x:t>
        </x:is>
      </x:c>
      <x:c r="T188" s="5" t="inlineStr">
        <x:is>
          <x:t xml:space="preserve">Cleared profile/cache and validated mailbox connectivity with user.</x:t>
        </x:is>
      </x:c>
      <x:c r="U188" s="8" t="n"/>
    </x:row>
    <x:row r="189">
      <x:c r="A189" s="8" t="inlineStr">
        <x:is>
          <x:t xml:space="preserve">INC-202603-0188</x:t>
        </x:is>
      </x:c>
      <x:c r="B189" s="44" t="n">
        <x:v>46082.46666666667</x:v>
      </x:c>
      <x:c r="C189" s="10" t="inlineStr">
        <x:is>
          <x:t xml:space="preserve">UK</x:t>
        </x:is>
      </x:c>
      <x:c r="D189" s="8" t="inlineStr">
        <x:is>
          <x:t xml:space="preserve">User 188</x:t>
        </x:is>
      </x:c>
      <x:c r="E189" s="11" t="inlineStr">
        <x:is>
          <x:t xml:space="preserve">Tax</x:t>
        </x:is>
      </x:c>
      <x:c r="F189" s="10" t="inlineStr">
        <x:is>
          <x:t xml:space="preserve">Phone</x:t>
        </x:is>
      </x:c>
      <x:c r="G189" s="11" t="inlineStr">
        <x:is>
          <x:t xml:space="preserve">Printer &amp; Peripheral</x:t>
        </x:is>
      </x:c>
      <x:c r="H189" s="11" t="inlineStr">
        <x:is>
          <x:t xml:space="preserve">Printer offline</x:t>
        </x:is>
      </x:c>
      <x:c r="I189" s="10" t="inlineStr">
        <x:is>
          <x:t xml:space="preserve">Low</x:t>
        </x:is>
      </x:c>
      <x:c r="J189" s="10" t="inlineStr">
        <x:is>
          <x:t xml:space="preserve">In Progress</x:t>
        </x:is>
      </x:c>
      <x:c r="K189" s="11" t="inlineStr">
        <x:is>
          <x:t xml:space="preserve">L1 Network Support</x:t>
        </x:is>
      </x:c>
      <x:c r="L189" s="10" t="inlineStr">
        <x:is>
          <x:t xml:space="preserve">Agent D</x:t>
        </x:is>
      </x:c>
      <x:c r="M189" s="12" t="n">
        <x:v>110</x:v>
      </x:c>
      <x:c r="N189" s="12" t="n"/>
      <x:c r="O189" s="12">
        <x:f>XLOOKUP(I189,SLA_Rules!$A$4:$A$7,SLA_Rules!$B$4:$B$7,"")</x:f>
        <x:v>24</x:v>
      </x:c>
      <x:c r="P189" s="12" t="str">
        <x:f>IF(J189&lt;&gt;"Resolved","Pending",IF(N189&lt;=O189,"Yes","No"))</x:f>
        <x:v>Pending</x:v>
      </x:c>
      <x:c r="Q189" s="10" t="inlineStr">
        <x:is>
          <x:t xml:space="preserve">No</x:t>
        </x:is>
      </x:c>
      <x:c r="R189" s="12" t="n"/>
      <x:c r="S189" s="11" t="inlineStr">
        <x:is>
          <x:t xml:space="preserve">Expired password</x:t>
        </x:is>
      </x:c>
      <x:c r="T189" s="5" t="inlineStr">
        <x:is>
          <x:t xml:space="preserve">Remapped device/driver and confirmed successful test output.</x:t>
        </x:is>
      </x:c>
      <x:c r="U189" s="8" t="n"/>
    </x:row>
    <x:row r="190">
      <x:c r="A190" s="8" t="inlineStr">
        <x:is>
          <x:t xml:space="preserve">INC-202603-0189</x:t>
        </x:is>
      </x:c>
      <x:c r="B190" s="44" t="n">
        <x:v>46107.29791666667</x:v>
      </x:c>
      <x:c r="C190" s="10" t="inlineStr">
        <x:is>
          <x:t xml:space="preserve">APAC</x:t>
        </x:is>
      </x:c>
      <x:c r="D190" s="8" t="inlineStr">
        <x:is>
          <x:t xml:space="preserve">User 189</x:t>
        </x:is>
      </x:c>
      <x:c r="E190" s="11" t="inlineStr">
        <x:is>
          <x:t xml:space="preserve">Risk Advisory</x:t>
        </x:is>
      </x:c>
      <x:c r="F190" s="10" t="inlineStr">
        <x:is>
          <x:t xml:space="preserve">Web Ticket</x:t>
        </x:is>
      </x:c>
      <x:c r="G190" s="11" t="inlineStr">
        <x:is>
          <x:t xml:space="preserve">Software &amp; Application</x:t>
        </x:is>
      </x:c>
      <x:c r="H190" s="11" t="inlineStr">
        <x:is>
          <x:t xml:space="preserve">Install failed</x:t>
        </x:is>
      </x:c>
      <x:c r="I190" s="10" t="inlineStr">
        <x:is>
          <x:t xml:space="preserve">Medium</x:t>
        </x:is>
      </x:c>
      <x:c r="J190" s="10" t="inlineStr">
        <x:is>
          <x:t xml:space="preserve">Resolved</x:t>
        </x:is>
      </x:c>
      <x:c r="K190" s="11" t="inlineStr">
        <x:is>
          <x:t xml:space="preserve">L1 Network Support</x:t>
        </x:is>
      </x:c>
      <x:c r="L190" s="10" t="inlineStr">
        <x:is>
          <x:t xml:space="preserve">Agent G</x:t>
        </x:is>
      </x:c>
      <x:c r="M190" s="12" t="n">
        <x:v>41</x:v>
      </x:c>
      <x:c r="N190" s="45" t="n">
        <x:v>7.6</x:v>
      </x:c>
      <x:c r="O190" s="12">
        <x:f>XLOOKUP(I190,SLA_Rules!$A$4:$A$7,SLA_Rules!$B$4:$B$7,"")</x:f>
        <x:v>16</x:v>
      </x:c>
      <x:c r="P190" s="12" t="str">
        <x:f>IF(J190&lt;&gt;"Resolved","Pending",IF(N190&lt;=O190,"Yes","No"))</x:f>
        <x:v>Yes</x:v>
      </x:c>
      <x:c r="Q190" s="10" t="inlineStr">
        <x:is>
          <x:t xml:space="preserve">No</x:t>
        </x:is>
      </x:c>
      <x:c r="R190" s="12" t="n">
        <x:v>5</x:v>
      </x:c>
      <x:c r="S190" s="11" t="inlineStr">
        <x:is>
          <x:t xml:space="preserve">User error</x:t>
        </x:is>
      </x:c>
      <x:c r="T190" s="5" t="inlineStr">
        <x:is>
          <x:t xml:space="preserve">Validated installation/configuration and completed application repair steps.</x:t>
        </x:is>
      </x:c>
      <x:c r="U190" s="44" t="n">
        <x:v>46107.61458333334</x:v>
      </x:c>
    </x:row>
    <x:row r="191">
      <x:c r="A191" s="8" t="inlineStr">
        <x:is>
          <x:t xml:space="preserve">INC-202603-0190</x:t>
        </x:is>
      </x:c>
      <x:c r="B191" s="44" t="n">
        <x:v>46112.04791666667</x:v>
      </x:c>
      <x:c r="C191" s="10" t="inlineStr">
        <x:is>
          <x:t xml:space="preserve">UK</x:t>
        </x:is>
      </x:c>
      <x:c r="D191" s="8" t="inlineStr">
        <x:is>
          <x:t xml:space="preserve">User 190</x:t>
        </x:is>
      </x:c>
      <x:c r="E191" s="11" t="inlineStr">
        <x:is>
          <x:t xml:space="preserve">Risk Advisory</x:t>
        </x:is>
      </x:c>
      <x:c r="F191" s="10" t="inlineStr">
        <x:is>
          <x:t xml:space="preserve">Phone</x:t>
        </x:is>
      </x:c>
      <x:c r="G191" s="11" t="inlineStr">
        <x:is>
          <x:t xml:space="preserve">Printer &amp; Peripheral</x:t>
        </x:is>
      </x:c>
      <x:c r="H191" s="11" t="inlineStr">
        <x:is>
          <x:t xml:space="preserve">Printer offline</x:t>
        </x:is>
      </x:c>
      <x:c r="I191" s="10" t="inlineStr">
        <x:is>
          <x:t xml:space="preserve">Low</x:t>
        </x:is>
      </x:c>
      <x:c r="J191" s="10" t="inlineStr">
        <x:is>
          <x:t xml:space="preserve">Resolved</x:t>
        </x:is>
      </x:c>
      <x:c r="K191" s="11" t="inlineStr">
        <x:is>
          <x:t xml:space="preserve">L1 Endpoint Support</x:t>
        </x:is>
      </x:c>
      <x:c r="L191" s="10" t="inlineStr">
        <x:is>
          <x:t xml:space="preserve">Agent D</x:t>
        </x:is>
      </x:c>
      <x:c r="M191" s="12" t="n">
        <x:v>83</x:v>
      </x:c>
      <x:c r="N191" s="45" t="n">
        <x:v>5.4</x:v>
      </x:c>
      <x:c r="O191" s="12">
        <x:f>XLOOKUP(I191,SLA_Rules!$A$4:$A$7,SLA_Rules!$B$4:$B$7,"")</x:f>
        <x:v>24</x:v>
      </x:c>
      <x:c r="P191" s="12" t="str">
        <x:f>IF(J191&lt;&gt;"Resolved","Pending",IF(N191&lt;=O191,"Yes","No"))</x:f>
        <x:v>Yes</x:v>
      </x:c>
      <x:c r="Q191" s="10" t="inlineStr">
        <x:is>
          <x:t xml:space="preserve">No</x:t>
        </x:is>
      </x:c>
      <x:c r="R191" s="12" t="n">
        <x:v>5</x:v>
      </x:c>
      <x:c r="S191" s="11" t="inlineStr">
        <x:is>
          <x:t xml:space="preserve">Driver problem</x:t>
        </x:is>
      </x:c>
      <x:c r="T191" s="5" t="inlineStr">
        <x:is>
          <x:t xml:space="preserve">Remapped device/driver and confirmed successful test output.</x:t>
        </x:is>
      </x:c>
      <x:c r="U191" s="44" t="n">
        <x:v>46112.27291666667</x:v>
      </x:c>
    </x:row>
    <x:row r="192">
      <x:c r="A192" s="8" t="inlineStr">
        <x:is>
          <x:t xml:space="preserve">INC-202603-0191</x:t>
        </x:is>
      </x:c>
      <x:c r="B192" s="44" t="n">
        <x:v>46100.75208333333</x:v>
      </x:c>
      <x:c r="C192" s="10" t="inlineStr">
        <x:is>
          <x:t xml:space="preserve">India</x:t>
        </x:is>
      </x:c>
      <x:c r="D192" s="8" t="inlineStr">
        <x:is>
          <x:t xml:space="preserve">User 191</x:t>
        </x:is>
      </x:c>
      <x:c r="E192" s="11" t="inlineStr">
        <x:is>
          <x:t xml:space="preserve">Consulting</x:t>
        </x:is>
      </x:c>
      <x:c r="F192" s="10" t="inlineStr">
        <x:is>
          <x:t xml:space="preserve">Phone</x:t>
        </x:is>
      </x:c>
      <x:c r="G192" s="11" t="inlineStr">
        <x:is>
          <x:t xml:space="preserve">Network &amp; VPN</x:t>
        </x:is>
      </x:c>
      <x:c r="H192" s="11" t="inlineStr">
        <x:is>
          <x:t xml:space="preserve">No internet</x:t>
        </x:is>
      </x:c>
      <x:c r="I192" s="10" t="inlineStr">
        <x:is>
          <x:t xml:space="preserve">Medium</x:t>
        </x:is>
      </x:c>
      <x:c r="J192" s="10" t="inlineStr">
        <x:is>
          <x:t xml:space="preserve">Pending User</x:t>
        </x:is>
      </x:c>
      <x:c r="K192" s="11" t="inlineStr">
        <x:is>
          <x:t xml:space="preserve">L1 Endpoint Support</x:t>
        </x:is>
      </x:c>
      <x:c r="L192" s="10" t="inlineStr">
        <x:is>
          <x:t xml:space="preserve">Agent A</x:t>
        </x:is>
      </x:c>
      <x:c r="M192" s="12" t="n">
        <x:v>73</x:v>
      </x:c>
      <x:c r="N192" s="12" t="n"/>
      <x:c r="O192" s="12">
        <x:f>XLOOKUP(I192,SLA_Rules!$A$4:$A$7,SLA_Rules!$B$4:$B$7,"")</x:f>
        <x:v>16</x:v>
      </x:c>
      <x:c r="P192" s="12" t="str">
        <x:f>IF(J192&lt;&gt;"Resolved","Pending",IF(N192&lt;=O192,"Yes","No"))</x:f>
        <x:v>Pending</x:v>
      </x:c>
      <x:c r="Q192" s="10" t="inlineStr">
        <x:is>
          <x:t xml:space="preserve">No</x:t>
        </x:is>
      </x:c>
      <x:c r="R192" s="12" t="n"/>
      <x:c r="S192" s="11" t="inlineStr">
        <x:is>
          <x:t xml:space="preserve">Configuration drift</x:t>
        </x:is>
      </x:c>
      <x:c r="T192" s="5" t="inlineStr">
        <x:is>
          <x:t xml:space="preserve">Checked connectivity path, reconfigured VPN settings, and confirmed stable access.</x:t>
        </x:is>
      </x:c>
      <x:c r="U192" s="8" t="n"/>
    </x:row>
    <x:row r="193">
      <x:c r="A193" s="8" t="inlineStr">
        <x:is>
          <x:t xml:space="preserve">INC-202603-0192</x:t>
        </x:is>
      </x:c>
      <x:c r="B193" s="44" t="n">
        <x:v>46090.29444444444</x:v>
      </x:c>
      <x:c r="C193" s="10" t="inlineStr">
        <x:is>
          <x:t xml:space="preserve">US</x:t>
        </x:is>
      </x:c>
      <x:c r="D193" s="8" t="inlineStr">
        <x:is>
          <x:t xml:space="preserve">User 192</x:t>
        </x:is>
      </x:c>
      <x:c r="E193" s="11" t="inlineStr">
        <x:is>
          <x:t xml:space="preserve">Finance</x:t>
        </x:is>
      </x:c>
      <x:c r="F193" s="10" t="inlineStr">
        <x:is>
          <x:t xml:space="preserve">Chat</x:t>
        </x:is>
      </x:c>
      <x:c r="G193" s="11" t="inlineStr">
        <x:is>
          <x:t xml:space="preserve">Email &amp; Outlook</x:t>
        </x:is>
      </x:c>
      <x:c r="H193" s="11" t="inlineStr">
        <x:is>
          <x:t xml:space="preserve">Attachment blocked</x:t>
        </x:is>
      </x:c>
      <x:c r="I193" s="10" t="inlineStr">
        <x:is>
          <x:t xml:space="preserve">Low</x:t>
        </x:is>
      </x:c>
      <x:c r="J193" s="10" t="inlineStr">
        <x:is>
          <x:t xml:space="preserve">Open</x:t>
        </x:is>
      </x:c>
      <x:c r="K193" s="11" t="inlineStr">
        <x:is>
          <x:t xml:space="preserve">L1 Messaging Support</x:t>
        </x:is>
      </x:c>
      <x:c r="L193" s="10" t="inlineStr">
        <x:is>
          <x:t xml:space="preserve">Agent D</x:t>
        </x:is>
      </x:c>
      <x:c r="M193" s="12" t="n">
        <x:v>87</x:v>
      </x:c>
      <x:c r="N193" s="12" t="n"/>
      <x:c r="O193" s="12">
        <x:f>XLOOKUP(I193,SLA_Rules!$A$4:$A$7,SLA_Rules!$B$4:$B$7,"")</x:f>
        <x:v>24</x:v>
      </x:c>
      <x:c r="P193" s="12" t="str">
        <x:f>IF(J193&lt;&gt;"Resolved","Pending",IF(N193&lt;=O193,"Yes","No"))</x:f>
        <x:v>Pending</x:v>
      </x:c>
      <x:c r="Q193" s="10" t="inlineStr">
        <x:is>
          <x:t xml:space="preserve">Yes</x:t>
        </x:is>
      </x:c>
      <x:c r="R193" s="12" t="n"/>
      <x:c r="S193" s="11" t="inlineStr">
        <x:is>
          <x:t xml:space="preserve">Policy enforcement</x:t>
        </x:is>
      </x:c>
      <x:c r="T193" s="5" t="inlineStr">
        <x:is>
          <x:t xml:space="preserve">Cleared profile/cache and validated mailbox connectivity with user.</x:t>
        </x:is>
      </x:c>
      <x:c r="U193" s="8" t="n"/>
    </x:row>
    <x:row r="194">
      <x:c r="A194" s="8" t="inlineStr">
        <x:is>
          <x:t xml:space="preserve">INC-202603-0193</x:t>
        </x:is>
      </x:c>
      <x:c r="B194" s="44" t="n">
        <x:v>46091.59444444445</x:v>
      </x:c>
      <x:c r="C194" s="10" t="inlineStr">
        <x:is>
          <x:t xml:space="preserve">India</x:t>
        </x:is>
      </x:c>
      <x:c r="D194" s="8" t="inlineStr">
        <x:is>
          <x:t xml:space="preserve">User 193</x:t>
        </x:is>
      </x:c>
      <x:c r="E194" s="11" t="inlineStr">
        <x:is>
          <x:t xml:space="preserve">Finance</x:t>
        </x:is>
      </x:c>
      <x:c r="F194" s="10" t="inlineStr">
        <x:is>
          <x:t xml:space="preserve">Phone</x:t>
        </x:is>
      </x:c>
      <x:c r="G194" s="11" t="inlineStr">
        <x:is>
          <x:t xml:space="preserve">Login &amp; Access</x:t>
        </x:is>
      </x:c>
      <x:c r="H194" s="11" t="inlineStr">
        <x:is>
          <x:t xml:space="preserve">Account locked</x:t>
        </x:is>
      </x:c>
      <x:c r="I194" s="10" t="inlineStr">
        <x:is>
          <x:t xml:space="preserve">High</x:t>
        </x:is>
      </x:c>
      <x:c r="J194" s="10" t="inlineStr">
        <x:is>
          <x:t xml:space="preserve">Resolved</x:t>
        </x:is>
      </x:c>
      <x:c r="K194" s="11" t="inlineStr">
        <x:is>
          <x:t xml:space="preserve">L1 Global Service Desk</x:t>
        </x:is>
      </x:c>
      <x:c r="L194" s="10" t="inlineStr">
        <x:is>
          <x:t xml:space="preserve">Agent D</x:t>
        </x:is>
      </x:c>
      <x:c r="M194" s="12" t="n">
        <x:v>25</x:v>
      </x:c>
      <x:c r="N194" s="45" t="n">
        <x:v>9.6</x:v>
      </x:c>
      <x:c r="O194" s="12">
        <x:f>XLOOKUP(I194,SLA_Rules!$A$4:$A$7,SLA_Rules!$B$4:$B$7,"")</x:f>
        <x:v>8</x:v>
      </x:c>
      <x:c r="P194" s="12" t="str">
        <x:f>IF(J194&lt;&gt;"Resolved","Pending",IF(N194&lt;=O194,"Yes","No"))</x:f>
        <x:v>No</x:v>
      </x:c>
      <x:c r="Q194" s="10" t="inlineStr">
        <x:is>
          <x:t xml:space="preserve">Yes</x:t>
        </x:is>
      </x:c>
      <x:c r="R194" s="12" t="n">
        <x:v>5</x:v>
      </x:c>
      <x:c r="S194" s="11" t="inlineStr">
        <x:is>
          <x:t xml:space="preserve">Policy enforcement</x:t>
        </x:is>
      </x:c>
      <x:c r="T194" s="5" t="inlineStr">
        <x:is>
          <x:t xml:space="preserve">Validated identity, restored access path, and confirmed successful login.</x:t>
        </x:is>
      </x:c>
      <x:c r="U194" s="44" t="n">
        <x:v>46091.99444444444</x:v>
      </x:c>
    </x:row>
    <x:row r="195">
      <x:c r="A195" s="8" t="inlineStr">
        <x:is>
          <x:t xml:space="preserve">INC-202603-0194</x:t>
        </x:is>
      </x:c>
      <x:c r="B195" s="44" t="n">
        <x:v>46108.20902777778</x:v>
      </x:c>
      <x:c r="C195" s="10" t="inlineStr">
        <x:is>
          <x:t xml:space="preserve">India</x:t>
        </x:is>
      </x:c>
      <x:c r="D195" s="8" t="inlineStr">
        <x:is>
          <x:t xml:space="preserve">User 194</x:t>
        </x:is>
      </x:c>
      <x:c r="E195" s="11" t="inlineStr">
        <x:is>
          <x:t xml:space="preserve">Audit</x:t>
        </x:is>
      </x:c>
      <x:c r="F195" s="10" t="inlineStr">
        <x:is>
          <x:t xml:space="preserve">Phone</x:t>
        </x:is>
      </x:c>
      <x:c r="G195" s="11" t="inlineStr">
        <x:is>
          <x:t xml:space="preserve">Login &amp; Access</x:t>
        </x:is>
      </x:c>
      <x:c r="H195" s="11" t="inlineStr">
        <x:is>
          <x:t xml:space="preserve">MFA prompt loop</x:t>
        </x:is>
      </x:c>
      <x:c r="I195" s="10" t="inlineStr">
        <x:is>
          <x:t xml:space="preserve">High</x:t>
        </x:is>
      </x:c>
      <x:c r="J195" s="10" t="inlineStr">
        <x:is>
          <x:t xml:space="preserve">Resolved</x:t>
        </x:is>
      </x:c>
      <x:c r="K195" s="11" t="inlineStr">
        <x:is>
          <x:t xml:space="preserve">L1 Identity Support</x:t>
        </x:is>
      </x:c>
      <x:c r="L195" s="10" t="inlineStr">
        <x:is>
          <x:t xml:space="preserve">Agent C</x:t>
        </x:is>
      </x:c>
      <x:c r="M195" s="12" t="n">
        <x:v>21</x:v>
      </x:c>
      <x:c r="N195" s="45" t="n">
        <x:v>12.5</x:v>
      </x:c>
      <x:c r="O195" s="12">
        <x:f>XLOOKUP(I195,SLA_Rules!$A$4:$A$7,SLA_Rules!$B$4:$B$7,"")</x:f>
        <x:v>8</x:v>
      </x:c>
      <x:c r="P195" s="12" t="str">
        <x:f>IF(J195&lt;&gt;"Resolved","Pending",IF(N195&lt;=O195,"Yes","No"))</x:f>
        <x:v>No</x:v>
      </x:c>
      <x:c r="Q195" s="10" t="inlineStr">
        <x:is>
          <x:t xml:space="preserve">Yes</x:t>
        </x:is>
      </x:c>
      <x:c r="R195" s="12" t="n">
        <x:v>3</x:v>
      </x:c>
      <x:c r="S195" s="11" t="inlineStr">
        <x:is>
          <x:t xml:space="preserve">Credential issue</x:t>
        </x:is>
      </x:c>
      <x:c r="T195" s="5" t="inlineStr">
        <x:is>
          <x:t xml:space="preserve">Validated identity, restored access path, and confirmed successful login.</x:t>
        </x:is>
      </x:c>
      <x:c r="U195" s="44" t="n">
        <x:v>46108.72986111111</x:v>
      </x:c>
    </x:row>
    <x:row r="196">
      <x:c r="A196" s="8" t="inlineStr">
        <x:is>
          <x:t xml:space="preserve">INC-202603-0195</x:t>
        </x:is>
      </x:c>
      <x:c r="B196" s="44" t="n">
        <x:v>46094.48819444444</x:v>
      </x:c>
      <x:c r="C196" s="10" t="inlineStr">
        <x:is>
          <x:t xml:space="preserve">APAC</x:t>
        </x:is>
      </x:c>
      <x:c r="D196" s="8" t="inlineStr">
        <x:is>
          <x:t xml:space="preserve">User 195</x:t>
        </x:is>
      </x:c>
      <x:c r="E196" s="11" t="inlineStr">
        <x:is>
          <x:t xml:space="preserve">Consulting</x:t>
        </x:is>
      </x:c>
      <x:c r="F196" s="10" t="inlineStr">
        <x:is>
          <x:t xml:space="preserve">Web Ticket</x:t>
        </x:is>
      </x:c>
      <x:c r="G196" s="11" t="inlineStr">
        <x:is>
          <x:t xml:space="preserve">Hardware</x:t>
        </x:is>
      </x:c>
      <x:c r="H196" s="11" t="inlineStr">
        <x:is>
          <x:t xml:space="preserve">Webcam not detected</x:t>
        </x:is>
      </x:c>
      <x:c r="I196" s="10" t="inlineStr">
        <x:is>
          <x:t xml:space="preserve">Low</x:t>
        </x:is>
      </x:c>
      <x:c r="J196" s="10" t="inlineStr">
        <x:is>
          <x:t xml:space="preserve">Resolved</x:t>
        </x:is>
      </x:c>
      <x:c r="K196" s="11" t="inlineStr">
        <x:is>
          <x:t xml:space="preserve">L1 Identity Support</x:t>
        </x:is>
      </x:c>
      <x:c r="L196" s="10" t="inlineStr">
        <x:is>
          <x:t xml:space="preserve">Agent G</x:t>
        </x:is>
      </x:c>
      <x:c r="M196" s="12" t="n">
        <x:v>90</x:v>
      </x:c>
      <x:c r="N196" s="45" t="n">
        <x:v>16</x:v>
      </x:c>
      <x:c r="O196" s="12">
        <x:f>XLOOKUP(I196,SLA_Rules!$A$4:$A$7,SLA_Rules!$B$4:$B$7,"")</x:f>
        <x:v>24</x:v>
      </x:c>
      <x:c r="P196" s="12" t="str">
        <x:f>IF(J196&lt;&gt;"Resolved","Pending",IF(N196&lt;=O196,"Yes","No"))</x:f>
        <x:v>Yes</x:v>
      </x:c>
      <x:c r="Q196" s="10" t="inlineStr">
        <x:is>
          <x:t xml:space="preserve">No</x:t>
        </x:is>
      </x:c>
      <x:c r="R196" s="12" t="n">
        <x:v>5</x:v>
      </x:c>
      <x:c r="S196" s="11" t="inlineStr">
        <x:is>
          <x:t xml:space="preserve">Credential issue</x:t>
        </x:is>
      </x:c>
      <x:c r="T196" s="5" t="inlineStr">
        <x:is>
          <x:t xml:space="preserve">Ran endpoint checks and provided workaround or hardware escalation as needed.</x:t>
        </x:is>
      </x:c>
      <x:c r="U196" s="44" t="n">
        <x:v>46095.15486111111</x:v>
      </x:c>
    </x:row>
    <x:row r="197">
      <x:c r="A197" s="8" t="inlineStr">
        <x:is>
          <x:t xml:space="preserve">INC-202603-0196</x:t>
        </x:is>
      </x:c>
      <x:c r="B197" s="44" t="n">
        <x:v>46112.58541666667</x:v>
      </x:c>
      <x:c r="C197" s="10" t="inlineStr">
        <x:is>
          <x:t xml:space="preserve">US</x:t>
        </x:is>
      </x:c>
      <x:c r="D197" s="8" t="inlineStr">
        <x:is>
          <x:t xml:space="preserve">User 196</x:t>
        </x:is>
      </x:c>
      <x:c r="E197" s="11" t="inlineStr">
        <x:is>
          <x:t xml:space="preserve">Finance</x:t>
        </x:is>
      </x:c>
      <x:c r="F197" s="10" t="inlineStr">
        <x:is>
          <x:t xml:space="preserve">Phone</x:t>
        </x:is>
      </x:c>
      <x:c r="G197" s="11" t="inlineStr">
        <x:is>
          <x:t xml:space="preserve">Login &amp; Access</x:t>
        </x:is>
      </x:c>
      <x:c r="H197" s="11" t="inlineStr">
        <x:is>
          <x:t xml:space="preserve">Account locked</x:t>
        </x:is>
      </x:c>
      <x:c r="I197" s="10" t="inlineStr">
        <x:is>
          <x:t xml:space="preserve">High</x:t>
        </x:is>
      </x:c>
      <x:c r="J197" s="10" t="inlineStr">
        <x:is>
          <x:t xml:space="preserve">Open</x:t>
        </x:is>
      </x:c>
      <x:c r="K197" s="11" t="inlineStr">
        <x:is>
          <x:t xml:space="preserve">L1 Global Service Desk</x:t>
        </x:is>
      </x:c>
      <x:c r="L197" s="10" t="inlineStr">
        <x:is>
          <x:t xml:space="preserve">Agent A</x:t>
        </x:is>
      </x:c>
      <x:c r="M197" s="12" t="n">
        <x:v>19</x:v>
      </x:c>
      <x:c r="N197" s="12" t="n"/>
      <x:c r="O197" s="12">
        <x:f>XLOOKUP(I197,SLA_Rules!$A$4:$A$7,SLA_Rules!$B$4:$B$7,"")</x:f>
        <x:v>8</x:v>
      </x:c>
      <x:c r="P197" s="12" t="str">
        <x:f>IF(J197&lt;&gt;"Resolved","Pending",IF(N197&lt;=O197,"Yes","No"))</x:f>
        <x:v>Pending</x:v>
      </x:c>
      <x:c r="Q197" s="10" t="inlineStr">
        <x:is>
          <x:t xml:space="preserve">No</x:t>
        </x:is>
      </x:c>
      <x:c r="R197" s="12" t="n"/>
      <x:c r="S197" s="11" t="inlineStr">
        <x:is>
          <x:t xml:space="preserve">Pending update</x:t>
        </x:is>
      </x:c>
      <x:c r="T197" s="5" t="inlineStr">
        <x:is>
          <x:t xml:space="preserve">Validated identity, restored access path, and confirmed successful login.</x:t>
        </x:is>
      </x:c>
      <x:c r="U197" s="8" t="n"/>
    </x:row>
    <x:row r="198">
      <x:c r="A198" s="8" t="inlineStr">
        <x:is>
          <x:t xml:space="preserve">INC-202603-0197</x:t>
        </x:is>
      </x:c>
      <x:c r="B198" s="44" t="n">
        <x:v>46083.81875</x:v>
      </x:c>
      <x:c r="C198" s="10" t="inlineStr">
        <x:is>
          <x:t xml:space="preserve">India</x:t>
        </x:is>
      </x:c>
      <x:c r="D198" s="8" t="inlineStr">
        <x:is>
          <x:t xml:space="preserve">User 197</x:t>
        </x:is>
      </x:c>
      <x:c r="E198" s="11" t="inlineStr">
        <x:is>
          <x:t xml:space="preserve">Internal Services</x:t>
        </x:is>
      </x:c>
      <x:c r="F198" s="10" t="inlineStr">
        <x:is>
          <x:t xml:space="preserve">Phone</x:t>
        </x:is>
      </x:c>
      <x:c r="G198" s="11" t="inlineStr">
        <x:is>
          <x:t xml:space="preserve">Network &amp; VPN</x:t>
        </x:is>
      </x:c>
      <x:c r="H198" s="11" t="inlineStr">
        <x:is>
          <x:t xml:space="preserve">DNS error</x:t>
        </x:is>
      </x:c>
      <x:c r="I198" s="10" t="inlineStr">
        <x:is>
          <x:t xml:space="preserve">Medium</x:t>
        </x:is>
      </x:c>
      <x:c r="J198" s="10" t="inlineStr">
        <x:is>
          <x:t xml:space="preserve">Resolved</x:t>
        </x:is>
      </x:c>
      <x:c r="K198" s="11" t="inlineStr">
        <x:is>
          <x:t xml:space="preserve">L1 Endpoint Support</x:t>
        </x:is>
      </x:c>
      <x:c r="L198" s="10" t="inlineStr">
        <x:is>
          <x:t xml:space="preserve">Agent B</x:t>
        </x:is>
      </x:c>
      <x:c r="M198" s="12" t="n">
        <x:v>75</x:v>
      </x:c>
      <x:c r="N198" s="45" t="n">
        <x:v>10.7</x:v>
      </x:c>
      <x:c r="O198" s="12">
        <x:f>XLOOKUP(I198,SLA_Rules!$A$4:$A$7,SLA_Rules!$B$4:$B$7,"")</x:f>
        <x:v>16</x:v>
      </x:c>
      <x:c r="P198" s="12" t="str">
        <x:f>IF(J198&lt;&gt;"Resolved","Pending",IF(N198&lt;=O198,"Yes","No"))</x:f>
        <x:v>Yes</x:v>
      </x:c>
      <x:c r="Q198" s="10" t="inlineStr">
        <x:is>
          <x:t xml:space="preserve">No</x:t>
        </x:is>
      </x:c>
      <x:c r="R198" s="12" t="n">
        <x:v>4</x:v>
      </x:c>
      <x:c r="S198" s="11" t="inlineStr">
        <x:is>
          <x:t xml:space="preserve">Driver problem</x:t>
        </x:is>
      </x:c>
      <x:c r="T198" s="5" t="inlineStr">
        <x:is>
          <x:t xml:space="preserve">Checked connectivity path, reconfigured VPN settings, and confirmed stable access.</x:t>
        </x:is>
      </x:c>
      <x:c r="U198" s="44" t="n">
        <x:v>46084.26458333333</x:v>
      </x:c>
    </x:row>
    <x:row r="199">
      <x:c r="A199" s="8" t="inlineStr">
        <x:is>
          <x:t xml:space="preserve">INC-202603-0198</x:t>
        </x:is>
      </x:c>
      <x:c r="B199" s="44" t="n">
        <x:v>46082.53472222222</x:v>
      </x:c>
      <x:c r="C199" s="10" t="inlineStr">
        <x:is>
          <x:t xml:space="preserve">US</x:t>
        </x:is>
      </x:c>
      <x:c r="D199" s="8" t="inlineStr">
        <x:is>
          <x:t xml:space="preserve">User 198</x:t>
        </x:is>
      </x:c>
      <x:c r="E199" s="11" t="inlineStr">
        <x:is>
          <x:t xml:space="preserve">Risk Advisory</x:t>
        </x:is>
      </x:c>
      <x:c r="F199" s="10" t="inlineStr">
        <x:is>
          <x:t xml:space="preserve">Chat</x:t>
        </x:is>
      </x:c>
      <x:c r="G199" s="11" t="inlineStr">
        <x:is>
          <x:t xml:space="preserve">Network &amp; VPN</x:t>
        </x:is>
      </x:c>
      <x:c r="H199" s="11" t="inlineStr">
        <x:is>
          <x:t xml:space="preserve">VPN not connecting</x:t>
        </x:is>
      </x:c>
      <x:c r="I199" s="10" t="inlineStr">
        <x:is>
          <x:t xml:space="preserve">Critical</x:t>
        </x:is>
      </x:c>
      <x:c r="J199" s="10" t="inlineStr">
        <x:is>
          <x:t xml:space="preserve">Resolved</x:t>
        </x:is>
      </x:c>
      <x:c r="K199" s="11" t="inlineStr">
        <x:is>
          <x:t xml:space="preserve">L1 Network Support</x:t>
        </x:is>
      </x:c>
      <x:c r="L199" s="10" t="inlineStr">
        <x:is>
          <x:t xml:space="preserve">Agent G</x:t>
        </x:is>
      </x:c>
      <x:c r="M199" s="12" t="n">
        <x:v>18</x:v>
      </x:c>
      <x:c r="N199" s="45" t="n">
        <x:v>2.1</x:v>
      </x:c>
      <x:c r="O199" s="12">
        <x:f>XLOOKUP(I199,SLA_Rules!$A$4:$A$7,SLA_Rules!$B$4:$B$7,"")</x:f>
        <x:v>4</x:v>
      </x:c>
      <x:c r="P199" s="12" t="str">
        <x:f>IF(J199&lt;&gt;"Resolved","Pending",IF(N199&lt;=O199,"Yes","No"))</x:f>
        <x:v>Yes</x:v>
      </x:c>
      <x:c r="Q199" s="10" t="inlineStr">
        <x:is>
          <x:t xml:space="preserve">No</x:t>
        </x:is>
      </x:c>
      <x:c r="R199" s="12" t="n">
        <x:v>4</x:v>
      </x:c>
      <x:c r="S199" s="11" t="inlineStr">
        <x:is>
          <x:t xml:space="preserve">Application cache</x:t>
        </x:is>
      </x:c>
      <x:c r="T199" s="5" t="inlineStr">
        <x:is>
          <x:t xml:space="preserve">Checked connectivity path, reconfigured VPN settings, and confirmed stable access.</x:t>
        </x:is>
      </x:c>
      <x:c r="U199" s="44" t="n">
        <x:v>46082.62222222222</x:v>
      </x:c>
    </x:row>
    <x:row r="200">
      <x:c r="A200" s="8" t="inlineStr">
        <x:is>
          <x:t xml:space="preserve">INC-202603-0199</x:t>
        </x:is>
      </x:c>
      <x:c r="B200" s="44" t="n">
        <x:v>46097.68194444444</x:v>
      </x:c>
      <x:c r="C200" s="10" t="inlineStr">
        <x:is>
          <x:t xml:space="preserve">India</x:t>
        </x:is>
      </x:c>
      <x:c r="D200" s="8" t="inlineStr">
        <x:is>
          <x:t xml:space="preserve">User 199</x:t>
        </x:is>
      </x:c>
      <x:c r="E200" s="11" t="inlineStr">
        <x:is>
          <x:t xml:space="preserve">Internal Services</x:t>
        </x:is>
      </x:c>
      <x:c r="F200" s="10" t="inlineStr">
        <x:is>
          <x:t xml:space="preserve">Web Ticket</x:t>
        </x:is>
      </x:c>
      <x:c r="G200" s="11" t="inlineStr">
        <x:is>
          <x:t xml:space="preserve">Email &amp; Outlook</x:t>
        </x:is>
      </x:c>
      <x:c r="H200" s="11" t="inlineStr">
        <x:is>
          <x:t xml:space="preserve">Mailbox sync delay</x:t>
        </x:is>
      </x:c>
      <x:c r="I200" s="10" t="inlineStr">
        <x:is>
          <x:t xml:space="preserve">Medium</x:t>
        </x:is>
      </x:c>
      <x:c r="J200" s="10" t="inlineStr">
        <x:is>
          <x:t xml:space="preserve">Resolved</x:t>
        </x:is>
      </x:c>
      <x:c r="K200" s="11" t="inlineStr">
        <x:is>
          <x:t xml:space="preserve">L1 Global Service Desk</x:t>
        </x:is>
      </x:c>
      <x:c r="L200" s="10" t="inlineStr">
        <x:is>
          <x:t xml:space="preserve">Agent G</x:t>
        </x:is>
      </x:c>
      <x:c r="M200" s="12" t="n">
        <x:v>32</x:v>
      </x:c>
      <x:c r="N200" s="45" t="n">
        <x:v>15.2</x:v>
      </x:c>
      <x:c r="O200" s="12">
        <x:f>XLOOKUP(I200,SLA_Rules!$A$4:$A$7,SLA_Rules!$B$4:$B$7,"")</x:f>
        <x:v>16</x:v>
      </x:c>
      <x:c r="P200" s="12" t="str">
        <x:f>IF(J200&lt;&gt;"Resolved","Pending",IF(N200&lt;=O200,"Yes","No"))</x:f>
        <x:v>Yes</x:v>
      </x:c>
      <x:c r="Q200" s="10" t="inlineStr">
        <x:is>
          <x:t xml:space="preserve">No</x:t>
        </x:is>
      </x:c>
      <x:c r="R200" s="12" t="n">
        <x:v>4</x:v>
      </x:c>
      <x:c r="S200" s="11" t="inlineStr">
        <x:is>
          <x:t xml:space="preserve">Network instability</x:t>
        </x:is>
      </x:c>
      <x:c r="T200" s="5" t="inlineStr">
        <x:is>
          <x:t xml:space="preserve">Cleared profile/cache and validated mailbox connectivity with user.</x:t>
        </x:is>
      </x:c>
      <x:c r="U200" s="44" t="n">
        <x:v>46098.31527777778</x:v>
      </x:c>
    </x:row>
    <x:row r="201">
      <x:c r="A201" s="8" t="inlineStr">
        <x:is>
          <x:t xml:space="preserve">INC-202603-0200</x:t>
        </x:is>
      </x:c>
      <x:c r="B201" s="44" t="n">
        <x:v>46100.45208333333</x:v>
      </x:c>
      <x:c r="C201" s="10" t="inlineStr">
        <x:is>
          <x:t xml:space="preserve">APAC</x:t>
        </x:is>
      </x:c>
      <x:c r="D201" s="8" t="inlineStr">
        <x:is>
          <x:t xml:space="preserve">User 200</x:t>
        </x:is>
      </x:c>
      <x:c r="E201" s="11" t="inlineStr">
        <x:is>
          <x:t xml:space="preserve">Consulting</x:t>
        </x:is>
      </x:c>
      <x:c r="F201" s="10" t="inlineStr">
        <x:is>
          <x:t xml:space="preserve">Email</x:t>
        </x:is>
      </x:c>
      <x:c r="G201" s="11" t="inlineStr">
        <x:is>
          <x:t xml:space="preserve">Email &amp; Outlook</x:t>
        </x:is>
      </x:c>
      <x:c r="H201" s="11" t="inlineStr">
        <x:is>
          <x:t xml:space="preserve">Outlook not opening</x:t>
        </x:is>
      </x:c>
      <x:c r="I201" s="10" t="inlineStr">
        <x:is>
          <x:t xml:space="preserve">Medium</x:t>
        </x:is>
      </x:c>
      <x:c r="J201" s="10" t="inlineStr">
        <x:is>
          <x:t xml:space="preserve">Resolved</x:t>
        </x:is>
      </x:c>
      <x:c r="K201" s="11" t="inlineStr">
        <x:is>
          <x:t xml:space="preserve">L1 Identity Support</x:t>
        </x:is>
      </x:c>
      <x:c r="L201" s="10" t="inlineStr">
        <x:is>
          <x:t xml:space="preserve">Agent B</x:t>
        </x:is>
      </x:c>
      <x:c r="M201" s="12" t="n">
        <x:v>15</x:v>
      </x:c>
      <x:c r="N201" s="45" t="n">
        <x:v>7</x:v>
      </x:c>
      <x:c r="O201" s="12">
        <x:f>XLOOKUP(I201,SLA_Rules!$A$4:$A$7,SLA_Rules!$B$4:$B$7,"")</x:f>
        <x:v>16</x:v>
      </x:c>
      <x:c r="P201" s="12" t="str">
        <x:f>IF(J201&lt;&gt;"Resolved","Pending",IF(N201&lt;=O201,"Yes","No"))</x:f>
        <x:v>Yes</x:v>
      </x:c>
      <x:c r="Q201" s="10" t="inlineStr">
        <x:is>
          <x:t xml:space="preserve">No</x:t>
        </x:is>
      </x:c>
      <x:c r="R201" s="12" t="n">
        <x:v>5</x:v>
      </x:c>
      <x:c r="S201" s="11" t="inlineStr">
        <x:is>
          <x:t xml:space="preserve">Application cache</x:t>
        </x:is>
      </x:c>
      <x:c r="T201" s="5" t="inlineStr">
        <x:is>
          <x:t xml:space="preserve">Cleared profile/cache and validated mailbox connectivity with user.</x:t>
        </x:is>
      </x:c>
      <x:c r="U201" s="44" t="n">
        <x:v>46100.74375</x:v>
      </x:c>
    </x:row>
    <x:row r="202">
      <x:c r="A202" s="8" t="inlineStr">
        <x:is>
          <x:t xml:space="preserve">INC-202603-0201</x:t>
        </x:is>
      </x:c>
      <x:c r="B202" s="44" t="n">
        <x:v>46083.08541666667</x:v>
      </x:c>
      <x:c r="C202" s="10" t="inlineStr">
        <x:is>
          <x:t xml:space="preserve">APAC</x:t>
        </x:is>
      </x:c>
      <x:c r="D202" s="8" t="inlineStr">
        <x:is>
          <x:t xml:space="preserve">User 201</x:t>
        </x:is>
      </x:c>
      <x:c r="E202" s="11" t="inlineStr">
        <x:is>
          <x:t xml:space="preserve">Internal Services</x:t>
        </x:is>
      </x:c>
      <x:c r="F202" s="10" t="inlineStr">
        <x:is>
          <x:t xml:space="preserve">Web Ticket</x:t>
        </x:is>
      </x:c>
      <x:c r="G202" s="11" t="inlineStr">
        <x:is>
          <x:t xml:space="preserve">Printer &amp; Peripheral</x:t>
        </x:is>
      </x:c>
      <x:c r="H202" s="11" t="inlineStr">
        <x:is>
          <x:t xml:space="preserve">Scanner issue</x:t>
        </x:is>
      </x:c>
      <x:c r="I202" s="10" t="inlineStr">
        <x:is>
          <x:t xml:space="preserve">Low</x:t>
        </x:is>
      </x:c>
      <x:c r="J202" s="10" t="inlineStr">
        <x:is>
          <x:t xml:space="preserve">Resolved</x:t>
        </x:is>
      </x:c>
      <x:c r="K202" s="11" t="inlineStr">
        <x:is>
          <x:t xml:space="preserve">L1 Identity Support</x:t>
        </x:is>
      </x:c>
      <x:c r="L202" s="10" t="inlineStr">
        <x:is>
          <x:t xml:space="preserve">Agent D</x:t>
        </x:is>
      </x:c>
      <x:c r="M202" s="12" t="n">
        <x:v>146</x:v>
      </x:c>
      <x:c r="N202" s="45" t="n">
        <x:v>7.8</x:v>
      </x:c>
      <x:c r="O202" s="12">
        <x:f>XLOOKUP(I202,SLA_Rules!$A$4:$A$7,SLA_Rules!$B$4:$B$7,"")</x:f>
        <x:v>24</x:v>
      </x:c>
      <x:c r="P202" s="12" t="str">
        <x:f>IF(J202&lt;&gt;"Resolved","Pending",IF(N202&lt;=O202,"Yes","No"))</x:f>
        <x:v>Yes</x:v>
      </x:c>
      <x:c r="Q202" s="10" t="inlineStr">
        <x:is>
          <x:t xml:space="preserve">No</x:t>
        </x:is>
      </x:c>
      <x:c r="R202" s="12" t="n">
        <x:v>3</x:v>
      </x:c>
      <x:c r="S202" s="11" t="inlineStr">
        <x:is>
          <x:t xml:space="preserve">Policy enforcement</x:t>
        </x:is>
      </x:c>
      <x:c r="T202" s="5" t="inlineStr">
        <x:is>
          <x:t xml:space="preserve">Remapped device/driver and confirmed successful test output.</x:t>
        </x:is>
      </x:c>
      <x:c r="U202" s="44" t="n">
        <x:v>46083.41041666667</x:v>
      </x:c>
    </x:row>
    <x:row r="203">
      <x:c r="A203" s="8" t="inlineStr">
        <x:is>
          <x:t xml:space="preserve">INC-202603-0202</x:t>
        </x:is>
      </x:c>
      <x:c r="B203" s="44" t="n">
        <x:v>46086.78125</x:v>
      </x:c>
      <x:c r="C203" s="10" t="inlineStr">
        <x:is>
          <x:t xml:space="preserve">APAC</x:t>
        </x:is>
      </x:c>
      <x:c r="D203" s="8" t="inlineStr">
        <x:is>
          <x:t xml:space="preserve">User 202</x:t>
        </x:is>
      </x:c>
      <x:c r="E203" s="11" t="inlineStr">
        <x:is>
          <x:t xml:space="preserve">Finance</x:t>
        </x:is>
      </x:c>
      <x:c r="F203" s="10" t="inlineStr">
        <x:is>
          <x:t xml:space="preserve">Chat</x:t>
        </x:is>
      </x:c>
      <x:c r="G203" s="11" t="inlineStr">
        <x:is>
          <x:t xml:space="preserve">Login &amp; Access</x:t>
        </x:is>
      </x:c>
      <x:c r="H203" s="11" t="inlineStr">
        <x:is>
          <x:t xml:space="preserve">SSO failure</x:t>
        </x:is>
      </x:c>
      <x:c r="I203" s="10" t="inlineStr">
        <x:is>
          <x:t xml:space="preserve">Medium</x:t>
        </x:is>
      </x:c>
      <x:c r="J203" s="10" t="inlineStr">
        <x:is>
          <x:t xml:space="preserve">Resolved</x:t>
        </x:is>
      </x:c>
      <x:c r="K203" s="11" t="inlineStr">
        <x:is>
          <x:t xml:space="preserve">L1 Global Service Desk</x:t>
        </x:is>
      </x:c>
      <x:c r="L203" s="10" t="inlineStr">
        <x:is>
          <x:t xml:space="preserve">Agent A</x:t>
        </x:is>
      </x:c>
      <x:c r="M203" s="12" t="n">
        <x:v>58</x:v>
      </x:c>
      <x:c r="N203" s="45" t="n">
        <x:v>22.8</x:v>
      </x:c>
      <x:c r="O203" s="12">
        <x:f>XLOOKUP(I203,SLA_Rules!$A$4:$A$7,SLA_Rules!$B$4:$B$7,"")</x:f>
        <x:v>16</x:v>
      </x:c>
      <x:c r="P203" s="12" t="str">
        <x:f>IF(J203&lt;&gt;"Resolved","Pending",IF(N203&lt;=O203,"Yes","No"))</x:f>
        <x:v>No</x:v>
      </x:c>
      <x:c r="Q203" s="10" t="inlineStr">
        <x:is>
          <x:t xml:space="preserve">Yes</x:t>
        </x:is>
      </x:c>
      <x:c r="R203" s="12" t="n">
        <x:v>5</x:v>
      </x:c>
      <x:c r="S203" s="11" t="inlineStr">
        <x:is>
          <x:t xml:space="preserve">Application cache</x:t>
        </x:is>
      </x:c>
      <x:c r="T203" s="5" t="inlineStr">
        <x:is>
          <x:t xml:space="preserve">Validated identity, restored access path, and confirmed successful login.</x:t>
        </x:is>
      </x:c>
      <x:c r="U203" s="44" t="n">
        <x:v>46087.73125</x:v>
      </x:c>
    </x:row>
    <x:row r="204">
      <x:c r="A204" s="8" t="inlineStr">
        <x:is>
          <x:t xml:space="preserve">INC-202603-0203</x:t>
        </x:is>
      </x:c>
      <x:c r="B204" s="44" t="n">
        <x:v>46102.65347222222</x:v>
      </x:c>
      <x:c r="C204" s="10" t="inlineStr">
        <x:is>
          <x:t xml:space="preserve">India</x:t>
        </x:is>
      </x:c>
      <x:c r="D204" s="8" t="inlineStr">
        <x:is>
          <x:t xml:space="preserve">User 203</x:t>
        </x:is>
      </x:c>
      <x:c r="E204" s="11" t="inlineStr">
        <x:is>
          <x:t xml:space="preserve">Consulting</x:t>
        </x:is>
      </x:c>
      <x:c r="F204" s="10" t="inlineStr">
        <x:is>
          <x:t xml:space="preserve">Phone</x:t>
        </x:is>
      </x:c>
      <x:c r="G204" s="11" t="inlineStr">
        <x:is>
          <x:t xml:space="preserve">Software &amp; Application</x:t>
        </x:is>
      </x:c>
      <x:c r="H204" s="11" t="inlineStr">
        <x:is>
          <x:t xml:space="preserve">Plugin error</x:t>
        </x:is>
      </x:c>
      <x:c r="I204" s="10" t="inlineStr">
        <x:is>
          <x:t xml:space="preserve">Low</x:t>
        </x:is>
      </x:c>
      <x:c r="J204" s="10" t="inlineStr">
        <x:is>
          <x:t xml:space="preserve">Resolved</x:t>
        </x:is>
      </x:c>
      <x:c r="K204" s="11" t="inlineStr">
        <x:is>
          <x:t xml:space="preserve">L1 Endpoint Support</x:t>
        </x:is>
      </x:c>
      <x:c r="L204" s="10" t="inlineStr">
        <x:is>
          <x:t xml:space="preserve">Agent G</x:t>
        </x:is>
      </x:c>
      <x:c r="M204" s="12" t="n">
        <x:v>115</x:v>
      </x:c>
      <x:c r="N204" s="45" t="n">
        <x:v>17.2</x:v>
      </x:c>
      <x:c r="O204" s="12">
        <x:f>XLOOKUP(I204,SLA_Rules!$A$4:$A$7,SLA_Rules!$B$4:$B$7,"")</x:f>
        <x:v>24</x:v>
      </x:c>
      <x:c r="P204" s="12" t="str">
        <x:f>IF(J204&lt;&gt;"Resolved","Pending",IF(N204&lt;=O204,"Yes","No"))</x:f>
        <x:v>Yes</x:v>
      </x:c>
      <x:c r="Q204" s="10" t="inlineStr">
        <x:is>
          <x:t xml:space="preserve">No</x:t>
        </x:is>
      </x:c>
      <x:c r="R204" s="12" t="n">
        <x:v>4</x:v>
      </x:c>
      <x:c r="S204" s="11" t="inlineStr">
        <x:is>
          <x:t xml:space="preserve">Policy enforcement</x:t>
        </x:is>
      </x:c>
      <x:c r="T204" s="5" t="inlineStr">
        <x:is>
          <x:t xml:space="preserve">Validated installation/configuration and completed application repair steps.</x:t>
        </x:is>
      </x:c>
      <x:c r="U204" s="44" t="n">
        <x:v>46103.37013888889</x:v>
      </x:c>
    </x:row>
    <x:row r="205">
      <x:c r="A205" s="8" t="inlineStr">
        <x:is>
          <x:t xml:space="preserve">INC-202603-0204</x:t>
        </x:is>
      </x:c>
      <x:c r="B205" s="44" t="n">
        <x:v>46109.75138888889</x:v>
      </x:c>
      <x:c r="C205" s="10" t="inlineStr">
        <x:is>
          <x:t xml:space="preserve">India</x:t>
        </x:is>
      </x:c>
      <x:c r="D205" s="8" t="inlineStr">
        <x:is>
          <x:t xml:space="preserve">User 204</x:t>
        </x:is>
      </x:c>
      <x:c r="E205" s="11" t="inlineStr">
        <x:is>
          <x:t xml:space="preserve">Audit</x:t>
        </x:is>
      </x:c>
      <x:c r="F205" s="10" t="inlineStr">
        <x:is>
          <x:t xml:space="preserve">Phone</x:t>
        </x:is>
      </x:c>
      <x:c r="G205" s="11" t="inlineStr">
        <x:is>
          <x:t xml:space="preserve">Hardware</x:t>
        </x:is>
      </x:c>
      <x:c r="H205" s="11" t="inlineStr">
        <x:is>
          <x:t xml:space="preserve">Docking station issue</x:t>
        </x:is>
      </x:c>
      <x:c r="I205" s="10" t="inlineStr">
        <x:is>
          <x:t xml:space="preserve">Low</x:t>
        </x:is>
      </x:c>
      <x:c r="J205" s="10" t="inlineStr">
        <x:is>
          <x:t xml:space="preserve">Resolved</x:t>
        </x:is>
      </x:c>
      <x:c r="K205" s="11" t="inlineStr">
        <x:is>
          <x:t xml:space="preserve">L1 Network Support</x:t>
        </x:is>
      </x:c>
      <x:c r="L205" s="10" t="inlineStr">
        <x:is>
          <x:t xml:space="preserve">Agent D</x:t>
        </x:is>
      </x:c>
      <x:c r="M205" s="12" t="n">
        <x:v>80</x:v>
      </x:c>
      <x:c r="N205" s="45" t="n">
        <x:v>9.699999999999999</x:v>
      </x:c>
      <x:c r="O205" s="12">
        <x:f>XLOOKUP(I205,SLA_Rules!$A$4:$A$7,SLA_Rules!$B$4:$B$7,"")</x:f>
        <x:v>24</x:v>
      </x:c>
      <x:c r="P205" s="12" t="str">
        <x:f>IF(J205&lt;&gt;"Resolved","Pending",IF(N205&lt;=O205,"Yes","No"))</x:f>
        <x:v>Yes</x:v>
      </x:c>
      <x:c r="Q205" s="10" t="inlineStr">
        <x:is>
          <x:t xml:space="preserve">No</x:t>
        </x:is>
      </x:c>
      <x:c r="R205" s="12" t="n">
        <x:v>5</x:v>
      </x:c>
      <x:c r="S205" s="11" t="inlineStr">
        <x:is>
          <x:t xml:space="preserve">Credential issue</x:t>
        </x:is>
      </x:c>
      <x:c r="T205" s="5" t="inlineStr">
        <x:is>
          <x:t xml:space="preserve">Ran endpoint checks and provided workaround or hardware escalation as needed.</x:t>
        </x:is>
      </x:c>
      <x:c r="U205" s="44" t="n">
        <x:v>46110.15555555555</x:v>
      </x:c>
    </x:row>
    <x:row r="206">
      <x:c r="A206" s="8" t="inlineStr">
        <x:is>
          <x:t xml:space="preserve">INC-202603-0205</x:t>
        </x:is>
      </x:c>
      <x:c r="B206" s="44" t="n">
        <x:v>46104.90277777778</x:v>
      </x:c>
      <x:c r="C206" s="10" t="inlineStr">
        <x:is>
          <x:t xml:space="preserve">India</x:t>
        </x:is>
      </x:c>
      <x:c r="D206" s="8" t="inlineStr">
        <x:is>
          <x:t xml:space="preserve">User 205</x:t>
        </x:is>
      </x:c>
      <x:c r="E206" s="11" t="inlineStr">
        <x:is>
          <x:t xml:space="preserve">Consulting</x:t>
        </x:is>
      </x:c>
      <x:c r="F206" s="10" t="inlineStr">
        <x:is>
          <x:t xml:space="preserve">Web Ticket</x:t>
        </x:is>
      </x:c>
      <x:c r="G206" s="11" t="inlineStr">
        <x:is>
          <x:t xml:space="preserve">Password Reset</x:t>
        </x:is>
      </x:c>
      <x:c r="H206" s="11" t="inlineStr">
        <x:is>
          <x:t xml:space="preserve">Reset link failed</x:t>
        </x:is>
      </x:c>
      <x:c r="I206" s="10" t="inlineStr">
        <x:is>
          <x:t xml:space="preserve">Low</x:t>
        </x:is>
      </x:c>
      <x:c r="J206" s="10" t="inlineStr">
        <x:is>
          <x:t xml:space="preserve">Resolved</x:t>
        </x:is>
      </x:c>
      <x:c r="K206" s="11" t="inlineStr">
        <x:is>
          <x:t xml:space="preserve">L1 Global Service Desk</x:t>
        </x:is>
      </x:c>
      <x:c r="L206" s="10" t="inlineStr">
        <x:is>
          <x:t xml:space="preserve">Agent G</x:t>
        </x:is>
      </x:c>
      <x:c r="M206" s="12" t="n">
        <x:v>26</x:v>
      </x:c>
      <x:c r="N206" s="45" t="n">
        <x:v>10</x:v>
      </x:c>
      <x:c r="O206" s="12">
        <x:f>XLOOKUP(I206,SLA_Rules!$A$4:$A$7,SLA_Rules!$B$4:$B$7,"")</x:f>
        <x:v>24</x:v>
      </x:c>
      <x:c r="P206" s="12" t="str">
        <x:f>IF(J206&lt;&gt;"Resolved","Pending",IF(N206&lt;=O206,"Yes","No"))</x:f>
        <x:v>Yes</x:v>
      </x:c>
      <x:c r="Q206" s="10" t="inlineStr">
        <x:is>
          <x:t xml:space="preserve">No</x:t>
        </x:is>
      </x:c>
      <x:c r="R206" s="12" t="n">
        <x:v>4</x:v>
      </x:c>
      <x:c r="S206" s="11" t="inlineStr">
        <x:is>
          <x:t xml:space="preserve">Network instability</x:t>
        </x:is>
      </x:c>
      <x:c r="T206" s="5" t="inlineStr">
        <x:is>
          <x:t xml:space="preserve">Completed identity validation and processed password reset successfully.</x:t>
        </x:is>
      </x:c>
      <x:c r="U206" s="44" t="n">
        <x:v>46105.31944444445</x:v>
      </x:c>
    </x:row>
    <x:row r="207">
      <x:c r="A207" s="8" t="inlineStr">
        <x:is>
          <x:t xml:space="preserve">INC-202603-0206</x:t>
        </x:is>
      </x:c>
      <x:c r="B207" s="44" t="n">
        <x:v>46110.56319444445</x:v>
      </x:c>
      <x:c r="C207" s="10" t="inlineStr">
        <x:is>
          <x:t xml:space="preserve">UK</x:t>
        </x:is>
      </x:c>
      <x:c r="D207" s="8" t="inlineStr">
        <x:is>
          <x:t xml:space="preserve">User 206</x:t>
        </x:is>
      </x:c>
      <x:c r="E207" s="11" t="inlineStr">
        <x:is>
          <x:t xml:space="preserve">Operations</x:t>
        </x:is>
      </x:c>
      <x:c r="F207" s="10" t="inlineStr">
        <x:is>
          <x:t xml:space="preserve">Phone</x:t>
        </x:is>
      </x:c>
      <x:c r="G207" s="11" t="inlineStr">
        <x:is>
          <x:t xml:space="preserve">Software &amp; Application</x:t>
        </x:is>
      </x:c>
      <x:c r="H207" s="11" t="inlineStr">
        <x:is>
          <x:t xml:space="preserve">License activation</x:t>
        </x:is>
      </x:c>
      <x:c r="I207" s="10" t="inlineStr">
        <x:is>
          <x:t xml:space="preserve">High</x:t>
        </x:is>
      </x:c>
      <x:c r="J207" s="10" t="inlineStr">
        <x:is>
          <x:t xml:space="preserve">In Progress</x:t>
        </x:is>
      </x:c>
      <x:c r="K207" s="11" t="inlineStr">
        <x:is>
          <x:t xml:space="preserve">L1 Endpoint Support</x:t>
        </x:is>
      </x:c>
      <x:c r="L207" s="10" t="inlineStr">
        <x:is>
          <x:t xml:space="preserve">Agent B</x:t>
        </x:is>
      </x:c>
      <x:c r="M207" s="12" t="n">
        <x:v>33</x:v>
      </x:c>
      <x:c r="N207" s="12" t="n"/>
      <x:c r="O207" s="12">
        <x:f>XLOOKUP(I207,SLA_Rules!$A$4:$A$7,SLA_Rules!$B$4:$B$7,"")</x:f>
        <x:v>8</x:v>
      </x:c>
      <x:c r="P207" s="12" t="str">
        <x:f>IF(J207&lt;&gt;"Resolved","Pending",IF(N207&lt;=O207,"Yes","No"))</x:f>
        <x:v>Pending</x:v>
      </x:c>
      <x:c r="Q207" s="10" t="inlineStr">
        <x:is>
          <x:t xml:space="preserve">No</x:t>
        </x:is>
      </x:c>
      <x:c r="R207" s="12" t="n"/>
      <x:c r="S207" s="11" t="inlineStr">
        <x:is>
          <x:t xml:space="preserve">Permission mismatch</x:t>
        </x:is>
      </x:c>
      <x:c r="T207" s="5" t="inlineStr">
        <x:is>
          <x:t xml:space="preserve">Validated installation/configuration and completed application repair steps.</x:t>
        </x:is>
      </x:c>
      <x:c r="U207" s="8" t="n"/>
    </x:row>
    <x:row r="208">
      <x:c r="A208" s="8" t="inlineStr">
        <x:is>
          <x:t xml:space="preserve">INC-202603-0207</x:t>
        </x:is>
      </x:c>
      <x:c r="B208" s="44" t="n">
        <x:v>46090.12777777778</x:v>
      </x:c>
      <x:c r="C208" s="10" t="inlineStr">
        <x:is>
          <x:t xml:space="preserve">India</x:t>
        </x:is>
      </x:c>
      <x:c r="D208" s="8" t="inlineStr">
        <x:is>
          <x:t xml:space="preserve">User 207</x:t>
        </x:is>
      </x:c>
      <x:c r="E208" s="11" t="inlineStr">
        <x:is>
          <x:t xml:space="preserve">Internal Services</x:t>
        </x:is>
      </x:c>
      <x:c r="F208" s="10" t="inlineStr">
        <x:is>
          <x:t xml:space="preserve">Chat</x:t>
        </x:is>
      </x:c>
      <x:c r="G208" s="11" t="inlineStr">
        <x:is>
          <x:t xml:space="preserve">Hardware</x:t>
        </x:is>
      </x:c>
      <x:c r="H208" s="11" t="inlineStr">
        <x:is>
          <x:t xml:space="preserve">Blue screen</x:t>
        </x:is>
      </x:c>
      <x:c r="I208" s="10" t="inlineStr">
        <x:is>
          <x:t xml:space="preserve">Low</x:t>
        </x:is>
      </x:c>
      <x:c r="J208" s="10" t="inlineStr">
        <x:is>
          <x:t xml:space="preserve">Resolved</x:t>
        </x:is>
      </x:c>
      <x:c r="K208" s="11" t="inlineStr">
        <x:is>
          <x:t xml:space="preserve">L1 Global Service Desk</x:t>
        </x:is>
      </x:c>
      <x:c r="L208" s="10" t="inlineStr">
        <x:is>
          <x:t xml:space="preserve">Agent C</x:t>
        </x:is>
      </x:c>
      <x:c r="M208" s="12" t="n">
        <x:v>65</x:v>
      </x:c>
      <x:c r="N208" s="45" t="n">
        <x:v>20.6</x:v>
      </x:c>
      <x:c r="O208" s="12">
        <x:f>XLOOKUP(I208,SLA_Rules!$A$4:$A$7,SLA_Rules!$B$4:$B$7,"")</x:f>
        <x:v>24</x:v>
      </x:c>
      <x:c r="P208" s="12" t="str">
        <x:f>IF(J208&lt;&gt;"Resolved","Pending",IF(N208&lt;=O208,"Yes","No"))</x:f>
        <x:v>Yes</x:v>
      </x:c>
      <x:c r="Q208" s="10" t="inlineStr">
        <x:is>
          <x:t xml:space="preserve">No</x:t>
        </x:is>
      </x:c>
      <x:c r="R208" s="12" t="n">
        <x:v>5</x:v>
      </x:c>
      <x:c r="S208" s="11" t="inlineStr">
        <x:is>
          <x:t xml:space="preserve">Driver problem</x:t>
        </x:is>
      </x:c>
      <x:c r="T208" s="5" t="inlineStr">
        <x:is>
          <x:t xml:space="preserve">Ran endpoint checks and provided workaround or hardware escalation as needed.</x:t>
        </x:is>
      </x:c>
      <x:c r="U208" s="44" t="n">
        <x:v>46090.98611111111</x:v>
      </x:c>
    </x:row>
    <x:row r="209">
      <x:c r="A209" s="8" t="inlineStr">
        <x:is>
          <x:t xml:space="preserve">INC-202603-0208</x:t>
        </x:is>
      </x:c>
      <x:c r="B209" s="44" t="n">
        <x:v>46087.83055555556</x:v>
      </x:c>
      <x:c r="C209" s="10" t="inlineStr">
        <x:is>
          <x:t xml:space="preserve">US</x:t>
        </x:is>
      </x:c>
      <x:c r="D209" s="8" t="inlineStr">
        <x:is>
          <x:t xml:space="preserve">User 208</x:t>
        </x:is>
      </x:c>
      <x:c r="E209" s="11" t="inlineStr">
        <x:is>
          <x:t xml:space="preserve">Audit</x:t>
        </x:is>
      </x:c>
      <x:c r="F209" s="10" t="inlineStr">
        <x:is>
          <x:t xml:space="preserve">Email</x:t>
        </x:is>
      </x:c>
      <x:c r="G209" s="11" t="inlineStr">
        <x:is>
          <x:t xml:space="preserve">Printer &amp; Peripheral</x:t>
        </x:is>
      </x:c>
      <x:c r="H209" s="11" t="inlineStr">
        <x:is>
          <x:t xml:space="preserve">Printer offline</x:t>
        </x:is>
      </x:c>
      <x:c r="I209" s="10" t="inlineStr">
        <x:is>
          <x:t xml:space="preserve">Low</x:t>
        </x:is>
      </x:c>
      <x:c r="J209" s="10" t="inlineStr">
        <x:is>
          <x:t xml:space="preserve">Resolved</x:t>
        </x:is>
      </x:c>
      <x:c r="K209" s="11" t="inlineStr">
        <x:is>
          <x:t xml:space="preserve">L1 Endpoint Support</x:t>
        </x:is>
      </x:c>
      <x:c r="L209" s="10" t="inlineStr">
        <x:is>
          <x:t xml:space="preserve">Agent F</x:t>
        </x:is>
      </x:c>
      <x:c r="M209" s="12" t="n">
        <x:v>108</x:v>
      </x:c>
      <x:c r="N209" s="45" t="n">
        <x:v>4.6</x:v>
      </x:c>
      <x:c r="O209" s="12">
        <x:f>XLOOKUP(I209,SLA_Rules!$A$4:$A$7,SLA_Rules!$B$4:$B$7,"")</x:f>
        <x:v>24</x:v>
      </x:c>
      <x:c r="P209" s="12" t="str">
        <x:f>IF(J209&lt;&gt;"Resolved","Pending",IF(N209&lt;=O209,"Yes","No"))</x:f>
        <x:v>Yes</x:v>
      </x:c>
      <x:c r="Q209" s="10" t="inlineStr">
        <x:is>
          <x:t xml:space="preserve">No</x:t>
        </x:is>
      </x:c>
      <x:c r="R209" s="12" t="n">
        <x:v>4</x:v>
      </x:c>
      <x:c r="S209" s="11" t="inlineStr">
        <x:is>
          <x:t xml:space="preserve">Network instability</x:t>
        </x:is>
      </x:c>
      <x:c r="T209" s="5" t="inlineStr">
        <x:is>
          <x:t xml:space="preserve">Remapped device/driver and confirmed successful test output.</x:t>
        </x:is>
      </x:c>
      <x:c r="U209" s="44" t="n">
        <x:v>46088.02222222222</x:v>
      </x:c>
    </x:row>
    <x:row r="210">
      <x:c r="A210" s="8" t="inlineStr">
        <x:is>
          <x:t xml:space="preserve">INC-202603-0209</x:t>
        </x:is>
      </x:c>
      <x:c r="B210" s="44" t="n">
        <x:v>46099.63125</x:v>
      </x:c>
      <x:c r="C210" s="10" t="inlineStr">
        <x:is>
          <x:t xml:space="preserve">India</x:t>
        </x:is>
      </x:c>
      <x:c r="D210" s="8" t="inlineStr">
        <x:is>
          <x:t xml:space="preserve">User 209</x:t>
        </x:is>
      </x:c>
      <x:c r="E210" s="11" t="inlineStr">
        <x:is>
          <x:t xml:space="preserve">Audit</x:t>
        </x:is>
      </x:c>
      <x:c r="F210" s="10" t="inlineStr">
        <x:is>
          <x:t xml:space="preserve">Phone</x:t>
        </x:is>
      </x:c>
      <x:c r="G210" s="11" t="inlineStr">
        <x:is>
          <x:t xml:space="preserve">Network &amp; VPN</x:t>
        </x:is>
      </x:c>
      <x:c r="H210" s="11" t="inlineStr">
        <x:is>
          <x:t xml:space="preserve">Remote desktop timeout</x:t>
        </x:is>
      </x:c>
      <x:c r="I210" s="10" t="inlineStr">
        <x:is>
          <x:t xml:space="preserve">High</x:t>
        </x:is>
      </x:c>
      <x:c r="J210" s="10" t="inlineStr">
        <x:is>
          <x:t xml:space="preserve">Resolved</x:t>
        </x:is>
      </x:c>
      <x:c r="K210" s="11" t="inlineStr">
        <x:is>
          <x:t xml:space="preserve">L1 Endpoint Support</x:t>
        </x:is>
      </x:c>
      <x:c r="L210" s="10" t="inlineStr">
        <x:is>
          <x:t xml:space="preserve">Agent E</x:t>
        </x:is>
      </x:c>
      <x:c r="M210" s="12" t="n">
        <x:v>11</x:v>
      </x:c>
      <x:c r="N210" s="45" t="n">
        <x:v>1.2</x:v>
      </x:c>
      <x:c r="O210" s="12">
        <x:f>XLOOKUP(I210,SLA_Rules!$A$4:$A$7,SLA_Rules!$B$4:$B$7,"")</x:f>
        <x:v>8</x:v>
      </x:c>
      <x:c r="P210" s="12" t="str">
        <x:f>IF(J210&lt;&gt;"Resolved","Pending",IF(N210&lt;=O210,"Yes","No"))</x:f>
        <x:v>Yes</x:v>
      </x:c>
      <x:c r="Q210" s="10" t="inlineStr">
        <x:is>
          <x:t xml:space="preserve">No</x:t>
        </x:is>
      </x:c>
      <x:c r="R210" s="12" t="n">
        <x:v>4</x:v>
      </x:c>
      <x:c r="S210" s="11" t="inlineStr">
        <x:is>
          <x:t xml:space="preserve">Policy enforcement</x:t>
        </x:is>
      </x:c>
      <x:c r="T210" s="5" t="inlineStr">
        <x:is>
          <x:t xml:space="preserve">Checked connectivity path, reconfigured VPN settings, and confirmed stable access.</x:t>
        </x:is>
      </x:c>
      <x:c r="U210" s="44" t="n">
        <x:v>46099.68125</x:v>
      </x:c>
    </x:row>
    <x:row r="211">
      <x:c r="A211" s="8" t="inlineStr">
        <x:is>
          <x:t xml:space="preserve">INC-202603-0210</x:t>
        </x:is>
      </x:c>
      <x:c r="B211" s="44" t="n">
        <x:v>46107.52083333334</x:v>
      </x:c>
      <x:c r="C211" s="10" t="inlineStr">
        <x:is>
          <x:t xml:space="preserve">UK</x:t>
        </x:is>
      </x:c>
      <x:c r="D211" s="8" t="inlineStr">
        <x:is>
          <x:t xml:space="preserve">User 210</x:t>
        </x:is>
      </x:c>
      <x:c r="E211" s="11" t="inlineStr">
        <x:is>
          <x:t xml:space="preserve">Operations</x:t>
        </x:is>
      </x:c>
      <x:c r="F211" s="10" t="inlineStr">
        <x:is>
          <x:t xml:space="preserve">Web Ticket</x:t>
        </x:is>
      </x:c>
      <x:c r="G211" s="11" t="inlineStr">
        <x:is>
          <x:t xml:space="preserve">Network &amp; VPN</x:t>
        </x:is>
      </x:c>
      <x:c r="H211" s="11" t="inlineStr">
        <x:is>
          <x:t xml:space="preserve">VPN not connecting</x:t>
        </x:is>
      </x:c>
      <x:c r="I211" s="10" t="inlineStr">
        <x:is>
          <x:t xml:space="preserve">High</x:t>
        </x:is>
      </x:c>
      <x:c r="J211" s="10" t="inlineStr">
        <x:is>
          <x:t xml:space="preserve">Resolved</x:t>
        </x:is>
      </x:c>
      <x:c r="K211" s="11" t="inlineStr">
        <x:is>
          <x:t xml:space="preserve">L1 Global Service Desk</x:t>
        </x:is>
      </x:c>
      <x:c r="L211" s="10" t="inlineStr">
        <x:is>
          <x:t xml:space="preserve">Agent C</x:t>
        </x:is>
      </x:c>
      <x:c r="M211" s="12" t="n">
        <x:v>11</x:v>
      </x:c>
      <x:c r="N211" s="45" t="n">
        <x:v>5.4</x:v>
      </x:c>
      <x:c r="O211" s="12">
        <x:f>XLOOKUP(I211,SLA_Rules!$A$4:$A$7,SLA_Rules!$B$4:$B$7,"")</x:f>
        <x:v>8</x:v>
      </x:c>
      <x:c r="P211" s="12" t="str">
        <x:f>IF(J211&lt;&gt;"Resolved","Pending",IF(N211&lt;=O211,"Yes","No"))</x:f>
        <x:v>Yes</x:v>
      </x:c>
      <x:c r="Q211" s="10" t="inlineStr">
        <x:is>
          <x:t xml:space="preserve">No</x:t>
        </x:is>
      </x:c>
      <x:c r="R211" s="12" t="n">
        <x:v>5</x:v>
      </x:c>
      <x:c r="S211" s="11" t="inlineStr">
        <x:is>
          <x:t xml:space="preserve">Application cache</x:t>
        </x:is>
      </x:c>
      <x:c r="T211" s="5" t="inlineStr">
        <x:is>
          <x:t xml:space="preserve">Checked connectivity path, reconfigured VPN settings, and confirmed stable access.</x:t>
        </x:is>
      </x:c>
      <x:c r="U211" s="44" t="n">
        <x:v>46107.74583333333</x:v>
      </x:c>
    </x:row>
    <x:row r="212">
      <x:c r="A212" s="8" t="inlineStr">
        <x:is>
          <x:t xml:space="preserve">INC-202603-0211</x:t>
        </x:is>
      </x:c>
      <x:c r="B212" s="44" t="n">
        <x:v>46083.2</x:v>
      </x:c>
      <x:c r="C212" s="10" t="inlineStr">
        <x:is>
          <x:t xml:space="preserve">India</x:t>
        </x:is>
      </x:c>
      <x:c r="D212" s="8" t="inlineStr">
        <x:is>
          <x:t xml:space="preserve">User 211</x:t>
        </x:is>
      </x:c>
      <x:c r="E212" s="11" t="inlineStr">
        <x:is>
          <x:t xml:space="preserve">Risk Advisory</x:t>
        </x:is>
      </x:c>
      <x:c r="F212" s="10" t="inlineStr">
        <x:is>
          <x:t xml:space="preserve">Email</x:t>
        </x:is>
      </x:c>
      <x:c r="G212" s="11" t="inlineStr">
        <x:is>
          <x:t xml:space="preserve">Password Reset</x:t>
        </x:is>
      </x:c>
      <x:c r="H212" s="11" t="inlineStr">
        <x:is>
          <x:t xml:space="preserve">Unlock request</x:t>
        </x:is>
      </x:c>
      <x:c r="I212" s="10" t="inlineStr">
        <x:is>
          <x:t xml:space="preserve">Low</x:t>
        </x:is>
      </x:c>
      <x:c r="J212" s="10" t="inlineStr">
        <x:is>
          <x:t xml:space="preserve">Resolved</x:t>
        </x:is>
      </x:c>
      <x:c r="K212" s="11" t="inlineStr">
        <x:is>
          <x:t xml:space="preserve">L1 Identity Support</x:t>
        </x:is>
      </x:c>
      <x:c r="L212" s="10" t="inlineStr">
        <x:is>
          <x:t xml:space="preserve">Agent E</x:t>
        </x:is>
      </x:c>
      <x:c r="M212" s="12" t="n">
        <x:v>112</x:v>
      </x:c>
      <x:c r="N212" s="45" t="n">
        <x:v>5.5</x:v>
      </x:c>
      <x:c r="O212" s="12">
        <x:f>XLOOKUP(I212,SLA_Rules!$A$4:$A$7,SLA_Rules!$B$4:$B$7,"")</x:f>
        <x:v>24</x:v>
      </x:c>
      <x:c r="P212" s="12" t="str">
        <x:f>IF(J212&lt;&gt;"Resolved","Pending",IF(N212&lt;=O212,"Yes","No"))</x:f>
        <x:v>Yes</x:v>
      </x:c>
      <x:c r="Q212" s="10" t="inlineStr">
        <x:is>
          <x:t xml:space="preserve">No</x:t>
        </x:is>
      </x:c>
      <x:c r="R212" s="12" t="n">
        <x:v>5</x:v>
      </x:c>
      <x:c r="S212" s="11" t="inlineStr">
        <x:is>
          <x:t xml:space="preserve">Pending update</x:t>
        </x:is>
      </x:c>
      <x:c r="T212" s="5" t="inlineStr">
        <x:is>
          <x:t xml:space="preserve">Completed identity validation and processed password reset successfully.</x:t>
        </x:is>
      </x:c>
      <x:c r="U212" s="44" t="n">
        <x:v>46083.42916666667</x:v>
      </x:c>
    </x:row>
    <x:row r="213">
      <x:c r="A213" s="8" t="inlineStr">
        <x:is>
          <x:t xml:space="preserve">INC-202603-0212</x:t>
        </x:is>
      </x:c>
      <x:c r="B213" s="44" t="n">
        <x:v>46097.37847222222</x:v>
      </x:c>
      <x:c r="C213" s="10" t="inlineStr">
        <x:is>
          <x:t xml:space="preserve">APAC</x:t>
        </x:is>
      </x:c>
      <x:c r="D213" s="8" t="inlineStr">
        <x:is>
          <x:t xml:space="preserve">User 212</x:t>
        </x:is>
      </x:c>
      <x:c r="E213" s="11" t="inlineStr">
        <x:is>
          <x:t xml:space="preserve">Operations</x:t>
        </x:is>
      </x:c>
      <x:c r="F213" s="10" t="inlineStr">
        <x:is>
          <x:t xml:space="preserve">Email</x:t>
        </x:is>
      </x:c>
      <x:c r="G213" s="11" t="inlineStr">
        <x:is>
          <x:t xml:space="preserve">Printer &amp; Peripheral</x:t>
        </x:is>
      </x:c>
      <x:c r="H213" s="11" t="inlineStr">
        <x:is>
          <x:t xml:space="preserve">Scanner issue</x:t>
        </x:is>
      </x:c>
      <x:c r="I213" s="10" t="inlineStr">
        <x:is>
          <x:t xml:space="preserve">Low</x:t>
        </x:is>
      </x:c>
      <x:c r="J213" s="10" t="inlineStr">
        <x:is>
          <x:t xml:space="preserve">Resolved</x:t>
        </x:is>
      </x:c>
      <x:c r="K213" s="11" t="inlineStr">
        <x:is>
          <x:t xml:space="preserve">L1 Network Support</x:t>
        </x:is>
      </x:c>
      <x:c r="L213" s="10" t="inlineStr">
        <x:is>
          <x:t xml:space="preserve">Agent B</x:t>
        </x:is>
      </x:c>
      <x:c r="M213" s="12" t="n">
        <x:v>32</x:v>
      </x:c>
      <x:c r="N213" s="45" t="n">
        <x:v>20</x:v>
      </x:c>
      <x:c r="O213" s="12">
        <x:f>XLOOKUP(I213,SLA_Rules!$A$4:$A$7,SLA_Rules!$B$4:$B$7,"")</x:f>
        <x:v>24</x:v>
      </x:c>
      <x:c r="P213" s="12" t="str">
        <x:f>IF(J213&lt;&gt;"Resolved","Pending",IF(N213&lt;=O213,"Yes","No"))</x:f>
        <x:v>Yes</x:v>
      </x:c>
      <x:c r="Q213" s="10" t="inlineStr">
        <x:is>
          <x:t xml:space="preserve">No</x:t>
        </x:is>
      </x:c>
      <x:c r="R213" s="12" t="n">
        <x:v>5</x:v>
      </x:c>
      <x:c r="S213" s="11" t="inlineStr">
        <x:is>
          <x:t xml:space="preserve">Driver problem</x:t>
        </x:is>
      </x:c>
      <x:c r="T213" s="5" t="inlineStr">
        <x:is>
          <x:t xml:space="preserve">Remapped device/driver and confirmed successful test output.</x:t>
        </x:is>
      </x:c>
      <x:c r="U213" s="44" t="n">
        <x:v>46098.21180555555</x:v>
      </x:c>
    </x:row>
    <x:row r="214">
      <x:c r="A214" s="8" t="inlineStr">
        <x:is>
          <x:t xml:space="preserve">INC-202603-0213</x:t>
        </x:is>
      </x:c>
      <x:c r="B214" s="44" t="n">
        <x:v>46088.16805555556</x:v>
      </x:c>
      <x:c r="C214" s="10" t="inlineStr">
        <x:is>
          <x:t xml:space="preserve">UK</x:t>
        </x:is>
      </x:c>
      <x:c r="D214" s="8" t="inlineStr">
        <x:is>
          <x:t xml:space="preserve">User 213</x:t>
        </x:is>
      </x:c>
      <x:c r="E214" s="11" t="inlineStr">
        <x:is>
          <x:t xml:space="preserve">Consulting</x:t>
        </x:is>
      </x:c>
      <x:c r="F214" s="10" t="inlineStr">
        <x:is>
          <x:t xml:space="preserve">Phone</x:t>
        </x:is>
      </x:c>
      <x:c r="G214" s="11" t="inlineStr">
        <x:is>
          <x:t xml:space="preserve">Hardware</x:t>
        </x:is>
      </x:c>
      <x:c r="H214" s="11" t="inlineStr">
        <x:is>
          <x:t xml:space="preserve">Blue screen</x:t>
        </x:is>
      </x:c>
      <x:c r="I214" s="10" t="inlineStr">
        <x:is>
          <x:t xml:space="preserve">Low</x:t>
        </x:is>
      </x:c>
      <x:c r="J214" s="10" t="inlineStr">
        <x:is>
          <x:t xml:space="preserve">Resolved</x:t>
        </x:is>
      </x:c>
      <x:c r="K214" s="11" t="inlineStr">
        <x:is>
          <x:t xml:space="preserve">L1 Identity Support</x:t>
        </x:is>
      </x:c>
      <x:c r="L214" s="10" t="inlineStr">
        <x:is>
          <x:t xml:space="preserve">Agent G</x:t>
        </x:is>
      </x:c>
      <x:c r="M214" s="12" t="n">
        <x:v>135</x:v>
      </x:c>
      <x:c r="N214" s="45" t="n">
        <x:v>22.6</x:v>
      </x:c>
      <x:c r="O214" s="12">
        <x:f>XLOOKUP(I214,SLA_Rules!$A$4:$A$7,SLA_Rules!$B$4:$B$7,"")</x:f>
        <x:v>24</x:v>
      </x:c>
      <x:c r="P214" s="12" t="str">
        <x:f>IF(J214&lt;&gt;"Resolved","Pending",IF(N214&lt;=O214,"Yes","No"))</x:f>
        <x:v>Yes</x:v>
      </x:c>
      <x:c r="Q214" s="10" t="inlineStr">
        <x:is>
          <x:t xml:space="preserve">No</x:t>
        </x:is>
      </x:c>
      <x:c r="R214" s="12" t="n">
        <x:v>4</x:v>
      </x:c>
      <x:c r="S214" s="11" t="inlineStr">
        <x:is>
          <x:t xml:space="preserve">Configuration drift</x:t>
        </x:is>
      </x:c>
      <x:c r="T214" s="5" t="inlineStr">
        <x:is>
          <x:t xml:space="preserve">Ran endpoint checks and provided workaround or hardware escalation as needed.</x:t>
        </x:is>
      </x:c>
      <x:c r="U214" s="44" t="n">
        <x:v>46089.10972222222</x:v>
      </x:c>
    </x:row>
    <x:row r="215">
      <x:c r="A215" s="8" t="inlineStr">
        <x:is>
          <x:t xml:space="preserve">INC-202603-0214</x:t>
        </x:is>
      </x:c>
      <x:c r="B215" s="44" t="n">
        <x:v>46099.45416666667</x:v>
      </x:c>
      <x:c r="C215" s="10" t="inlineStr">
        <x:is>
          <x:t xml:space="preserve">APAC</x:t>
        </x:is>
      </x:c>
      <x:c r="D215" s="8" t="inlineStr">
        <x:is>
          <x:t xml:space="preserve">User 214</x:t>
        </x:is>
      </x:c>
      <x:c r="E215" s="11" t="inlineStr">
        <x:is>
          <x:t xml:space="preserve">HR</x:t>
        </x:is>
      </x:c>
      <x:c r="F215" s="10" t="inlineStr">
        <x:is>
          <x:t xml:space="preserve">Phone</x:t>
        </x:is>
      </x:c>
      <x:c r="G215" s="11" t="inlineStr">
        <x:is>
          <x:t xml:space="preserve">Hardware</x:t>
        </x:is>
      </x:c>
      <x:c r="H215" s="11" t="inlineStr">
        <x:is>
          <x:t xml:space="preserve">Audio issue</x:t>
        </x:is>
      </x:c>
      <x:c r="I215" s="10" t="inlineStr">
        <x:is>
          <x:t xml:space="preserve">Low</x:t>
        </x:is>
      </x:c>
      <x:c r="J215" s="10" t="inlineStr">
        <x:is>
          <x:t xml:space="preserve">Open</x:t>
        </x:is>
      </x:c>
      <x:c r="K215" s="11" t="inlineStr">
        <x:is>
          <x:t xml:space="preserve">L1 Network Support</x:t>
        </x:is>
      </x:c>
      <x:c r="L215" s="10" t="inlineStr">
        <x:is>
          <x:t xml:space="preserve">Agent D</x:t>
        </x:is>
      </x:c>
      <x:c r="M215" s="12" t="n">
        <x:v>106</x:v>
      </x:c>
      <x:c r="N215" s="12" t="n"/>
      <x:c r="O215" s="12">
        <x:f>XLOOKUP(I215,SLA_Rules!$A$4:$A$7,SLA_Rules!$B$4:$B$7,"")</x:f>
        <x:v>24</x:v>
      </x:c>
      <x:c r="P215" s="12" t="str">
        <x:f>IF(J215&lt;&gt;"Resolved","Pending",IF(N215&lt;=O215,"Yes","No"))</x:f>
        <x:v>Pending</x:v>
      </x:c>
      <x:c r="Q215" s="10" t="inlineStr">
        <x:is>
          <x:t xml:space="preserve">No</x:t>
        </x:is>
      </x:c>
      <x:c r="R215" s="12" t="n"/>
      <x:c r="S215" s="11" t="inlineStr">
        <x:is>
          <x:t xml:space="preserve">User error</x:t>
        </x:is>
      </x:c>
      <x:c r="T215" s="5" t="inlineStr">
        <x:is>
          <x:t xml:space="preserve">Ran endpoint checks and provided workaround or hardware escalation as needed.</x:t>
        </x:is>
      </x:c>
      <x:c r="U215" s="8" t="n"/>
    </x:row>
    <x:row r="216">
      <x:c r="A216" s="8" t="inlineStr">
        <x:is>
          <x:t xml:space="preserve">INC-202603-0215</x:t>
        </x:is>
      </x:c>
      <x:c r="B216" s="44" t="n">
        <x:v>46100.16597222222</x:v>
      </x:c>
      <x:c r="C216" s="10" t="inlineStr">
        <x:is>
          <x:t xml:space="preserve">US</x:t>
        </x:is>
      </x:c>
      <x:c r="D216" s="8" t="inlineStr">
        <x:is>
          <x:t xml:space="preserve">User 215</x:t>
        </x:is>
      </x:c>
      <x:c r="E216" s="11" t="inlineStr">
        <x:is>
          <x:t xml:space="preserve">Consulting</x:t>
        </x:is>
      </x:c>
      <x:c r="F216" s="10" t="inlineStr">
        <x:is>
          <x:t xml:space="preserve">Email</x:t>
        </x:is>
      </x:c>
      <x:c r="G216" s="11" t="inlineStr">
        <x:is>
          <x:t xml:space="preserve">Hardware</x:t>
        </x:is>
      </x:c>
      <x:c r="H216" s="11" t="inlineStr">
        <x:is>
          <x:t xml:space="preserve">Blue screen</x:t>
        </x:is>
      </x:c>
      <x:c r="I216" s="10" t="inlineStr">
        <x:is>
          <x:t xml:space="preserve">High</x:t>
        </x:is>
      </x:c>
      <x:c r="J216" s="10" t="inlineStr">
        <x:is>
          <x:t xml:space="preserve">Resolved</x:t>
        </x:is>
      </x:c>
      <x:c r="K216" s="11" t="inlineStr">
        <x:is>
          <x:t xml:space="preserve">L1 Network Support</x:t>
        </x:is>
      </x:c>
      <x:c r="L216" s="10" t="inlineStr">
        <x:is>
          <x:t xml:space="preserve">Agent E</x:t>
        </x:is>
      </x:c>
      <x:c r="M216" s="12" t="n">
        <x:v>24</x:v>
      </x:c>
      <x:c r="N216" s="45" t="n">
        <x:v>6.2</x:v>
      </x:c>
      <x:c r="O216" s="12">
        <x:f>XLOOKUP(I216,SLA_Rules!$A$4:$A$7,SLA_Rules!$B$4:$B$7,"")</x:f>
        <x:v>8</x:v>
      </x:c>
      <x:c r="P216" s="12" t="str">
        <x:f>IF(J216&lt;&gt;"Resolved","Pending",IF(N216&lt;=O216,"Yes","No"))</x:f>
        <x:v>Yes</x:v>
      </x:c>
      <x:c r="Q216" s="10" t="inlineStr">
        <x:is>
          <x:t xml:space="preserve">No</x:t>
        </x:is>
      </x:c>
      <x:c r="R216" s="12" t="n">
        <x:v>5</x:v>
      </x:c>
      <x:c r="S216" s="11" t="inlineStr">
        <x:is>
          <x:t xml:space="preserve">Pending update</x:t>
        </x:is>
      </x:c>
      <x:c r="T216" s="5" t="inlineStr">
        <x:is>
          <x:t xml:space="preserve">Ran endpoint checks and provided workaround or hardware escalation as needed.</x:t>
        </x:is>
      </x:c>
      <x:c r="U216" s="44" t="n">
        <x:v>46100.42430555556</x:v>
      </x:c>
    </x:row>
    <x:row r="217">
      <x:c r="A217" s="8" t="inlineStr">
        <x:is>
          <x:t xml:space="preserve">INC-202603-0216</x:t>
        </x:is>
      </x:c>
      <x:c r="B217" s="44" t="n">
        <x:v>46103.93402777778</x:v>
      </x:c>
      <x:c r="C217" s="10" t="inlineStr">
        <x:is>
          <x:t xml:space="preserve">India</x:t>
        </x:is>
      </x:c>
      <x:c r="D217" s="8" t="inlineStr">
        <x:is>
          <x:t xml:space="preserve">User 216</x:t>
        </x:is>
      </x:c>
      <x:c r="E217" s="11" t="inlineStr">
        <x:is>
          <x:t xml:space="preserve">Consulting</x:t>
        </x:is>
      </x:c>
      <x:c r="F217" s="10" t="inlineStr">
        <x:is>
          <x:t xml:space="preserve">Phone</x:t>
        </x:is>
      </x:c>
      <x:c r="G217" s="11" t="inlineStr">
        <x:is>
          <x:t xml:space="preserve">Email &amp; Outlook</x:t>
        </x:is>
      </x:c>
      <x:c r="H217" s="11" t="inlineStr">
        <x:is>
          <x:t xml:space="preserve">Calendar invite issue</x:t>
        </x:is>
      </x:c>
      <x:c r="I217" s="10" t="inlineStr">
        <x:is>
          <x:t xml:space="preserve">Low</x:t>
        </x:is>
      </x:c>
      <x:c r="J217" s="10" t="inlineStr">
        <x:is>
          <x:t xml:space="preserve">Resolved</x:t>
        </x:is>
      </x:c>
      <x:c r="K217" s="11" t="inlineStr">
        <x:is>
          <x:t xml:space="preserve">L1 Network Support</x:t>
        </x:is>
      </x:c>
      <x:c r="L217" s="10" t="inlineStr">
        <x:is>
          <x:t xml:space="preserve">Agent E</x:t>
        </x:is>
      </x:c>
      <x:c r="M217" s="12" t="n">
        <x:v>108</x:v>
      </x:c>
      <x:c r="N217" s="45" t="n">
        <x:v>20.7</x:v>
      </x:c>
      <x:c r="O217" s="12">
        <x:f>XLOOKUP(I217,SLA_Rules!$A$4:$A$7,SLA_Rules!$B$4:$B$7,"")</x:f>
        <x:v>24</x:v>
      </x:c>
      <x:c r="P217" s="12" t="str">
        <x:f>IF(J217&lt;&gt;"Resolved","Pending",IF(N217&lt;=O217,"Yes","No"))</x:f>
        <x:v>Yes</x:v>
      </x:c>
      <x:c r="Q217" s="10" t="inlineStr">
        <x:is>
          <x:t xml:space="preserve">No</x:t>
        </x:is>
      </x:c>
      <x:c r="R217" s="12" t="n">
        <x:v>5</x:v>
      </x:c>
      <x:c r="S217" s="11" t="inlineStr">
        <x:is>
          <x:t xml:space="preserve">User error</x:t>
        </x:is>
      </x:c>
      <x:c r="T217" s="5" t="inlineStr">
        <x:is>
          <x:t xml:space="preserve">Cleared profile/cache and validated mailbox connectivity with user.</x:t>
        </x:is>
      </x:c>
      <x:c r="U217" s="44" t="n">
        <x:v>46104.79652777778</x:v>
      </x:c>
    </x:row>
    <x:row r="218">
      <x:c r="A218" s="8" t="inlineStr">
        <x:is>
          <x:t xml:space="preserve">INC-202603-0217</x:t>
        </x:is>
      </x:c>
      <x:c r="B218" s="44" t="n">
        <x:v>46104.87916666667</x:v>
      </x:c>
      <x:c r="C218" s="10" t="inlineStr">
        <x:is>
          <x:t xml:space="preserve">APAC</x:t>
        </x:is>
      </x:c>
      <x:c r="D218" s="8" t="inlineStr">
        <x:is>
          <x:t xml:space="preserve">User 217</x:t>
        </x:is>
      </x:c>
      <x:c r="E218" s="11" t="inlineStr">
        <x:is>
          <x:t xml:space="preserve">Internal Services</x:t>
        </x:is>
      </x:c>
      <x:c r="F218" s="10" t="inlineStr">
        <x:is>
          <x:t xml:space="preserve">Phone</x:t>
        </x:is>
      </x:c>
      <x:c r="G218" s="11" t="inlineStr">
        <x:is>
          <x:t xml:space="preserve">Hardware</x:t>
        </x:is>
      </x:c>
      <x:c r="H218" s="11" t="inlineStr">
        <x:is>
          <x:t xml:space="preserve">Audio issue</x:t>
        </x:is>
      </x:c>
      <x:c r="I218" s="10" t="inlineStr">
        <x:is>
          <x:t xml:space="preserve">Low</x:t>
        </x:is>
      </x:c>
      <x:c r="J218" s="10" t="inlineStr">
        <x:is>
          <x:t xml:space="preserve">Resolved</x:t>
        </x:is>
      </x:c>
      <x:c r="K218" s="11" t="inlineStr">
        <x:is>
          <x:t xml:space="preserve">L1 Endpoint Support</x:t>
        </x:is>
      </x:c>
      <x:c r="L218" s="10" t="inlineStr">
        <x:is>
          <x:t xml:space="preserve">Agent G</x:t>
        </x:is>
      </x:c>
      <x:c r="M218" s="12" t="n">
        <x:v>100</x:v>
      </x:c>
      <x:c r="N218" s="45" t="n">
        <x:v>28.8</x:v>
      </x:c>
      <x:c r="O218" s="12">
        <x:f>XLOOKUP(I218,SLA_Rules!$A$4:$A$7,SLA_Rules!$B$4:$B$7,"")</x:f>
        <x:v>24</x:v>
      </x:c>
      <x:c r="P218" s="12" t="str">
        <x:f>IF(J218&lt;&gt;"Resolved","Pending",IF(N218&lt;=O218,"Yes","No"))</x:f>
        <x:v>No</x:v>
      </x:c>
      <x:c r="Q218" s="10" t="inlineStr">
        <x:is>
          <x:t xml:space="preserve">Yes</x:t>
        </x:is>
      </x:c>
      <x:c r="R218" s="12" t="n">
        <x:v>5</x:v>
      </x:c>
      <x:c r="S218" s="11" t="inlineStr">
        <x:is>
          <x:t xml:space="preserve">Permission mismatch</x:t>
        </x:is>
      </x:c>
      <x:c r="T218" s="5" t="inlineStr">
        <x:is>
          <x:t xml:space="preserve">Ran endpoint checks and provided workaround or hardware escalation as needed.</x:t>
        </x:is>
      </x:c>
      <x:c r="U218" s="44" t="n">
        <x:v>46106.07916666667</x:v>
      </x:c>
    </x:row>
    <x:row r="219">
      <x:c r="A219" s="8" t="inlineStr">
        <x:is>
          <x:t xml:space="preserve">INC-202603-0218</x:t>
        </x:is>
      </x:c>
      <x:c r="B219" s="44" t="n">
        <x:v>46095.97986111111</x:v>
      </x:c>
      <x:c r="C219" s="10" t="inlineStr">
        <x:is>
          <x:t xml:space="preserve">US</x:t>
        </x:is>
      </x:c>
      <x:c r="D219" s="8" t="inlineStr">
        <x:is>
          <x:t xml:space="preserve">User 218</x:t>
        </x:is>
      </x:c>
      <x:c r="E219" s="11" t="inlineStr">
        <x:is>
          <x:t xml:space="preserve">Operations</x:t>
        </x:is>
      </x:c>
      <x:c r="F219" s="10" t="inlineStr">
        <x:is>
          <x:t xml:space="preserve">Phone</x:t>
        </x:is>
      </x:c>
      <x:c r="G219" s="11" t="inlineStr">
        <x:is>
          <x:t xml:space="preserve">Hardware</x:t>
        </x:is>
      </x:c>
      <x:c r="H219" s="11" t="inlineStr">
        <x:is>
          <x:t xml:space="preserve">Audio issue</x:t>
        </x:is>
      </x:c>
      <x:c r="I219" s="10" t="inlineStr">
        <x:is>
          <x:t xml:space="preserve">Low</x:t>
        </x:is>
      </x:c>
      <x:c r="J219" s="10" t="inlineStr">
        <x:is>
          <x:t xml:space="preserve">Resolved</x:t>
        </x:is>
      </x:c>
      <x:c r="K219" s="11" t="inlineStr">
        <x:is>
          <x:t xml:space="preserve">L1 Identity Support</x:t>
        </x:is>
      </x:c>
      <x:c r="L219" s="10" t="inlineStr">
        <x:is>
          <x:t xml:space="preserve">Agent G</x:t>
        </x:is>
      </x:c>
      <x:c r="M219" s="12" t="n">
        <x:v>38</x:v>
      </x:c>
      <x:c r="N219" s="45" t="n">
        <x:v>20.3</x:v>
      </x:c>
      <x:c r="O219" s="12">
        <x:f>XLOOKUP(I219,SLA_Rules!$A$4:$A$7,SLA_Rules!$B$4:$B$7,"")</x:f>
        <x:v>24</x:v>
      </x:c>
      <x:c r="P219" s="12" t="str">
        <x:f>IF(J219&lt;&gt;"Resolved","Pending",IF(N219&lt;=O219,"Yes","No"))</x:f>
        <x:v>Yes</x:v>
      </x:c>
      <x:c r="Q219" s="10" t="inlineStr">
        <x:is>
          <x:t xml:space="preserve">No</x:t>
        </x:is>
      </x:c>
      <x:c r="R219" s="12" t="n">
        <x:v>5</x:v>
      </x:c>
      <x:c r="S219" s="11" t="inlineStr">
        <x:is>
          <x:t xml:space="preserve">Configuration drift</x:t>
        </x:is>
      </x:c>
      <x:c r="T219" s="5" t="inlineStr">
        <x:is>
          <x:t xml:space="preserve">Ran endpoint checks and provided workaround or hardware escalation as needed.</x:t>
        </x:is>
      </x:c>
      <x:c r="U219" s="44" t="n">
        <x:v>46096.82569444444</x:v>
      </x:c>
    </x:row>
    <x:row r="220">
      <x:c r="A220" s="8" t="inlineStr">
        <x:is>
          <x:t xml:space="preserve">INC-202603-0219</x:t>
        </x:is>
      </x:c>
      <x:c r="B220" s="44" t="n">
        <x:v>46110.28680555556</x:v>
      </x:c>
      <x:c r="C220" s="10" t="inlineStr">
        <x:is>
          <x:t xml:space="preserve">APAC</x:t>
        </x:is>
      </x:c>
      <x:c r="D220" s="8" t="inlineStr">
        <x:is>
          <x:t xml:space="preserve">User 219</x:t>
        </x:is>
      </x:c>
      <x:c r="E220" s="11" t="inlineStr">
        <x:is>
          <x:t xml:space="preserve">Audit</x:t>
        </x:is>
      </x:c>
      <x:c r="F220" s="10" t="inlineStr">
        <x:is>
          <x:t xml:space="preserve">Web Ticket</x:t>
        </x:is>
      </x:c>
      <x:c r="G220" s="11" t="inlineStr">
        <x:is>
          <x:t xml:space="preserve">Login &amp; Access</x:t>
        </x:is>
      </x:c>
      <x:c r="H220" s="11" t="inlineStr">
        <x:is>
          <x:t xml:space="preserve">Shared drive permission</x:t>
        </x:is>
      </x:c>
      <x:c r="I220" s="10" t="inlineStr">
        <x:is>
          <x:t xml:space="preserve">High</x:t>
        </x:is>
      </x:c>
      <x:c r="J220" s="10" t="inlineStr">
        <x:is>
          <x:t xml:space="preserve">Resolved</x:t>
        </x:is>
      </x:c>
      <x:c r="K220" s="11" t="inlineStr">
        <x:is>
          <x:t xml:space="preserve">L1 Global Service Desk</x:t>
        </x:is>
      </x:c>
      <x:c r="L220" s="10" t="inlineStr">
        <x:is>
          <x:t xml:space="preserve">Agent B</x:t>
        </x:is>
      </x:c>
      <x:c r="M220" s="12" t="n">
        <x:v>9</x:v>
      </x:c>
      <x:c r="N220" s="45" t="n">
        <x:v>1.4</x:v>
      </x:c>
      <x:c r="O220" s="12">
        <x:f>XLOOKUP(I220,SLA_Rules!$A$4:$A$7,SLA_Rules!$B$4:$B$7,"")</x:f>
        <x:v>8</x:v>
      </x:c>
      <x:c r="P220" s="12" t="str">
        <x:f>IF(J220&lt;&gt;"Resolved","Pending",IF(N220&lt;=O220,"Yes","No"))</x:f>
        <x:v>Yes</x:v>
      </x:c>
      <x:c r="Q220" s="10" t="inlineStr">
        <x:is>
          <x:t xml:space="preserve">No</x:t>
        </x:is>
      </x:c>
      <x:c r="R220" s="12" t="n">
        <x:v>5</x:v>
      </x:c>
      <x:c r="S220" s="11" t="inlineStr">
        <x:is>
          <x:t xml:space="preserve">Expired password</x:t>
        </x:is>
      </x:c>
      <x:c r="T220" s="5" t="inlineStr">
        <x:is>
          <x:t xml:space="preserve">Validated identity, restored access path, and confirmed successful login.</x:t>
        </x:is>
      </x:c>
      <x:c r="U220" s="44" t="n">
        <x:v>46110.34513888889</x:v>
      </x:c>
    </x:row>
    <x:row r="221">
      <x:c r="A221" s="8" t="inlineStr">
        <x:is>
          <x:t xml:space="preserve">INC-202603-0220</x:t>
        </x:is>
      </x:c>
      <x:c r="B221" s="44" t="n">
        <x:v>46101.59097222222</x:v>
      </x:c>
      <x:c r="C221" s="10" t="inlineStr">
        <x:is>
          <x:t xml:space="preserve">APAC</x:t>
        </x:is>
      </x:c>
      <x:c r="D221" s="8" t="inlineStr">
        <x:is>
          <x:t xml:space="preserve">User 220</x:t>
        </x:is>
      </x:c>
      <x:c r="E221" s="11" t="inlineStr">
        <x:is>
          <x:t xml:space="preserve">Risk Advisory</x:t>
        </x:is>
      </x:c>
      <x:c r="F221" s="10" t="inlineStr">
        <x:is>
          <x:t xml:space="preserve">Chat</x:t>
        </x:is>
      </x:c>
      <x:c r="G221" s="11" t="inlineStr">
        <x:is>
          <x:t xml:space="preserve">Email &amp; Outlook</x:t>
        </x:is>
      </x:c>
      <x:c r="H221" s="11" t="inlineStr">
        <x:is>
          <x:t xml:space="preserve">Calendar invite issue</x:t>
        </x:is>
      </x:c>
      <x:c r="I221" s="10" t="inlineStr">
        <x:is>
          <x:t xml:space="preserve">Low</x:t>
        </x:is>
      </x:c>
      <x:c r="J221" s="10" t="inlineStr">
        <x:is>
          <x:t xml:space="preserve">Resolved</x:t>
        </x:is>
      </x:c>
      <x:c r="K221" s="11" t="inlineStr">
        <x:is>
          <x:t xml:space="preserve">L1 Messaging Support</x:t>
        </x:is>
      </x:c>
      <x:c r="L221" s="10" t="inlineStr">
        <x:is>
          <x:t xml:space="preserve">Agent D</x:t>
        </x:is>
      </x:c>
      <x:c r="M221" s="12" t="n">
        <x:v>113</x:v>
      </x:c>
      <x:c r="N221" s="45" t="n">
        <x:v>28.8</x:v>
      </x:c>
      <x:c r="O221" s="12">
        <x:f>XLOOKUP(I221,SLA_Rules!$A$4:$A$7,SLA_Rules!$B$4:$B$7,"")</x:f>
        <x:v>24</x:v>
      </x:c>
      <x:c r="P221" s="12" t="str">
        <x:f>IF(J221&lt;&gt;"Resolved","Pending",IF(N221&lt;=O221,"Yes","No"))</x:f>
        <x:v>No</x:v>
      </x:c>
      <x:c r="Q221" s="10" t="inlineStr">
        <x:is>
          <x:t xml:space="preserve">Yes</x:t>
        </x:is>
      </x:c>
      <x:c r="R221" s="12" t="n">
        <x:v>4</x:v>
      </x:c>
      <x:c r="S221" s="11" t="inlineStr">
        <x:is>
          <x:t xml:space="preserve">Expired password</x:t>
        </x:is>
      </x:c>
      <x:c r="T221" s="5" t="inlineStr">
        <x:is>
          <x:t xml:space="preserve">Cleared profile/cache and validated mailbox connectivity with user.</x:t>
        </x:is>
      </x:c>
      <x:c r="U221" s="44" t="n">
        <x:v>46102.79097222222</x:v>
      </x:c>
    </x:row>
    <x:row r="222">
      <x:c r="A222" s="8" t="inlineStr">
        <x:is>
          <x:t xml:space="preserve">INC-202603-0221</x:t>
        </x:is>
      </x:c>
      <x:c r="B222" s="44" t="n">
        <x:v>46089.88402777778</x:v>
      </x:c>
      <x:c r="C222" s="10" t="inlineStr">
        <x:is>
          <x:t xml:space="preserve">India</x:t>
        </x:is>
      </x:c>
      <x:c r="D222" s="8" t="inlineStr">
        <x:is>
          <x:t xml:space="preserve">User 221</x:t>
        </x:is>
      </x:c>
      <x:c r="E222" s="11" t="inlineStr">
        <x:is>
          <x:t xml:space="preserve">Risk Advisory</x:t>
        </x:is>
      </x:c>
      <x:c r="F222" s="10" t="inlineStr">
        <x:is>
          <x:t xml:space="preserve">Chat</x:t>
        </x:is>
      </x:c>
      <x:c r="G222" s="11" t="inlineStr">
        <x:is>
          <x:t xml:space="preserve">Hardware</x:t>
        </x:is>
      </x:c>
      <x:c r="H222" s="11" t="inlineStr">
        <x:is>
          <x:t xml:space="preserve">Laptop slow</x:t>
        </x:is>
      </x:c>
      <x:c r="I222" s="10" t="inlineStr">
        <x:is>
          <x:t xml:space="preserve">Low</x:t>
        </x:is>
      </x:c>
      <x:c r="J222" s="10" t="inlineStr">
        <x:is>
          <x:t xml:space="preserve">Resolved</x:t>
        </x:is>
      </x:c>
      <x:c r="K222" s="11" t="inlineStr">
        <x:is>
          <x:t xml:space="preserve">L1 Identity Support</x:t>
        </x:is>
      </x:c>
      <x:c r="L222" s="10" t="inlineStr">
        <x:is>
          <x:t xml:space="preserve">Agent F</x:t>
        </x:is>
      </x:c>
      <x:c r="M222" s="12" t="n">
        <x:v>29</x:v>
      </x:c>
      <x:c r="N222" s="45" t="n">
        <x:v>11.5</x:v>
      </x:c>
      <x:c r="O222" s="12">
        <x:f>XLOOKUP(I222,SLA_Rules!$A$4:$A$7,SLA_Rules!$B$4:$B$7,"")</x:f>
        <x:v>24</x:v>
      </x:c>
      <x:c r="P222" s="12" t="str">
        <x:f>IF(J222&lt;&gt;"Resolved","Pending",IF(N222&lt;=O222,"Yes","No"))</x:f>
        <x:v>Yes</x:v>
      </x:c>
      <x:c r="Q222" s="10" t="inlineStr">
        <x:is>
          <x:t xml:space="preserve">No</x:t>
        </x:is>
      </x:c>
      <x:c r="R222" s="12" t="n">
        <x:v>5</x:v>
      </x:c>
      <x:c r="S222" s="11" t="inlineStr">
        <x:is>
          <x:t xml:space="preserve">User error</x:t>
        </x:is>
      </x:c>
      <x:c r="T222" s="5" t="inlineStr">
        <x:is>
          <x:t xml:space="preserve">Ran endpoint checks and provided workaround or hardware escalation as needed.</x:t>
        </x:is>
      </x:c>
      <x:c r="U222" s="44" t="n">
        <x:v>46090.36319444444</x:v>
      </x:c>
    </x:row>
    <x:row r="223">
      <x:c r="A223" s="8" t="inlineStr">
        <x:is>
          <x:t xml:space="preserve">INC-202603-0222</x:t>
        </x:is>
      </x:c>
      <x:c r="B223" s="44" t="n">
        <x:v>46110.5375</x:v>
      </x:c>
      <x:c r="C223" s="10" t="inlineStr">
        <x:is>
          <x:t xml:space="preserve">India</x:t>
        </x:is>
      </x:c>
      <x:c r="D223" s="8" t="inlineStr">
        <x:is>
          <x:t xml:space="preserve">User 222</x:t>
        </x:is>
      </x:c>
      <x:c r="E223" s="11" t="inlineStr">
        <x:is>
          <x:t xml:space="preserve">Internal Services</x:t>
        </x:is>
      </x:c>
      <x:c r="F223" s="10" t="inlineStr">
        <x:is>
          <x:t xml:space="preserve">Phone</x:t>
        </x:is>
      </x:c>
      <x:c r="G223" s="11" t="inlineStr">
        <x:is>
          <x:t xml:space="preserve">Network &amp; VPN</x:t>
        </x:is>
      </x:c>
      <x:c r="H223" s="11" t="inlineStr">
        <x:is>
          <x:t xml:space="preserve">Wi-Fi unstable</x:t>
        </x:is>
      </x:c>
      <x:c r="I223" s="10" t="inlineStr">
        <x:is>
          <x:t xml:space="preserve">Medium</x:t>
        </x:is>
      </x:c>
      <x:c r="J223" s="10" t="inlineStr">
        <x:is>
          <x:t xml:space="preserve">Resolved</x:t>
        </x:is>
      </x:c>
      <x:c r="K223" s="11" t="inlineStr">
        <x:is>
          <x:t xml:space="preserve">L1 Messaging Support</x:t>
        </x:is>
      </x:c>
      <x:c r="L223" s="10" t="inlineStr">
        <x:is>
          <x:t xml:space="preserve">Agent D</x:t>
        </x:is>
      </x:c>
      <x:c r="M223" s="12" t="n">
        <x:v>71</x:v>
      </x:c>
      <x:c r="N223" s="45" t="n">
        <x:v>5.6</x:v>
      </x:c>
      <x:c r="O223" s="12">
        <x:f>XLOOKUP(I223,SLA_Rules!$A$4:$A$7,SLA_Rules!$B$4:$B$7,"")</x:f>
        <x:v>16</x:v>
      </x:c>
      <x:c r="P223" s="12" t="str">
        <x:f>IF(J223&lt;&gt;"Resolved","Pending",IF(N223&lt;=O223,"Yes","No"))</x:f>
        <x:v>Yes</x:v>
      </x:c>
      <x:c r="Q223" s="10" t="inlineStr">
        <x:is>
          <x:t xml:space="preserve">No</x:t>
        </x:is>
      </x:c>
      <x:c r="R223" s="12" t="n">
        <x:v>4</x:v>
      </x:c>
      <x:c r="S223" s="11" t="inlineStr">
        <x:is>
          <x:t xml:space="preserve">Driver problem</x:t>
        </x:is>
      </x:c>
      <x:c r="T223" s="5" t="inlineStr">
        <x:is>
          <x:t xml:space="preserve">Checked connectivity path, reconfigured VPN settings, and confirmed stable access.</x:t>
        </x:is>
      </x:c>
      <x:c r="U223" s="44" t="n">
        <x:v>46110.77083333334</x:v>
      </x:c>
    </x:row>
    <x:row r="224">
      <x:c r="A224" s="8" t="inlineStr">
        <x:is>
          <x:t xml:space="preserve">INC-202603-0223</x:t>
        </x:is>
      </x:c>
      <x:c r="B224" s="44" t="n">
        <x:v>46101.80416666667</x:v>
      </x:c>
      <x:c r="C224" s="10" t="inlineStr">
        <x:is>
          <x:t xml:space="preserve">US</x:t>
        </x:is>
      </x:c>
      <x:c r="D224" s="8" t="inlineStr">
        <x:is>
          <x:t xml:space="preserve">User 223</x:t>
        </x:is>
      </x:c>
      <x:c r="E224" s="11" t="inlineStr">
        <x:is>
          <x:t xml:space="preserve">Finance</x:t>
        </x:is>
      </x:c>
      <x:c r="F224" s="10" t="inlineStr">
        <x:is>
          <x:t xml:space="preserve">Chat</x:t>
        </x:is>
      </x:c>
      <x:c r="G224" s="11" t="inlineStr">
        <x:is>
          <x:t xml:space="preserve">Hardware</x:t>
        </x:is>
      </x:c>
      <x:c r="H224" s="11" t="inlineStr">
        <x:is>
          <x:t xml:space="preserve">Docking station issue</x:t>
        </x:is>
      </x:c>
      <x:c r="I224" s="10" t="inlineStr">
        <x:is>
          <x:t xml:space="preserve">High</x:t>
        </x:is>
      </x:c>
      <x:c r="J224" s="10" t="inlineStr">
        <x:is>
          <x:t xml:space="preserve">Resolved</x:t>
        </x:is>
      </x:c>
      <x:c r="K224" s="11" t="inlineStr">
        <x:is>
          <x:t xml:space="preserve">L1 Network Support</x:t>
        </x:is>
      </x:c>
      <x:c r="L224" s="10" t="inlineStr">
        <x:is>
          <x:t xml:space="preserve">Agent F</x:t>
        </x:is>
      </x:c>
      <x:c r="M224" s="12" t="n">
        <x:v>10</x:v>
      </x:c>
      <x:c r="N224" s="45" t="n">
        <x:v>1.9</x:v>
      </x:c>
      <x:c r="O224" s="12">
        <x:f>XLOOKUP(I224,SLA_Rules!$A$4:$A$7,SLA_Rules!$B$4:$B$7,"")</x:f>
        <x:v>8</x:v>
      </x:c>
      <x:c r="P224" s="12" t="str">
        <x:f>IF(J224&lt;&gt;"Resolved","Pending",IF(N224&lt;=O224,"Yes","No"))</x:f>
        <x:v>Yes</x:v>
      </x:c>
      <x:c r="Q224" s="10" t="inlineStr">
        <x:is>
          <x:t xml:space="preserve">No</x:t>
        </x:is>
      </x:c>
      <x:c r="R224" s="12" t="n">
        <x:v>4</x:v>
      </x:c>
      <x:c r="S224" s="11" t="inlineStr">
        <x:is>
          <x:t xml:space="preserve">Application cache</x:t>
        </x:is>
      </x:c>
      <x:c r="T224" s="5" t="inlineStr">
        <x:is>
          <x:t xml:space="preserve">Ran endpoint checks and provided workaround or hardware escalation as needed.</x:t>
        </x:is>
      </x:c>
      <x:c r="U224" s="44" t="n">
        <x:v>46101.88333333333</x:v>
      </x:c>
    </x:row>
    <x:row r="225">
      <x:c r="A225" s="8" t="inlineStr">
        <x:is>
          <x:t xml:space="preserve">INC-202603-0224</x:t>
        </x:is>
      </x:c>
      <x:c r="B225" s="44" t="n">
        <x:v>46092.88055555556</x:v>
      </x:c>
      <x:c r="C225" s="10" t="inlineStr">
        <x:is>
          <x:t xml:space="preserve">US</x:t>
        </x:is>
      </x:c>
      <x:c r="D225" s="8" t="inlineStr">
        <x:is>
          <x:t xml:space="preserve">User 224</x:t>
        </x:is>
      </x:c>
      <x:c r="E225" s="11" t="inlineStr">
        <x:is>
          <x:t xml:space="preserve">Audit</x:t>
        </x:is>
      </x:c>
      <x:c r="F225" s="10" t="inlineStr">
        <x:is>
          <x:t xml:space="preserve">Phone</x:t>
        </x:is>
      </x:c>
      <x:c r="G225" s="11" t="inlineStr">
        <x:is>
          <x:t xml:space="preserve">Password Reset</x:t>
        </x:is>
      </x:c>
      <x:c r="H225" s="11" t="inlineStr">
        <x:is>
          <x:t xml:space="preserve">Unlock request</x:t>
        </x:is>
      </x:c>
      <x:c r="I225" s="10" t="inlineStr">
        <x:is>
          <x:t xml:space="preserve">Low</x:t>
        </x:is>
      </x:c>
      <x:c r="J225" s="10" t="inlineStr">
        <x:is>
          <x:t xml:space="preserve">Resolved</x:t>
        </x:is>
      </x:c>
      <x:c r="K225" s="11" t="inlineStr">
        <x:is>
          <x:t xml:space="preserve">L1 Identity Support</x:t>
        </x:is>
      </x:c>
      <x:c r="L225" s="10" t="inlineStr">
        <x:is>
          <x:t xml:space="preserve">Agent F</x:t>
        </x:is>
      </x:c>
      <x:c r="M225" s="12" t="n">
        <x:v>99</x:v>
      </x:c>
      <x:c r="N225" s="45" t="n">
        <x:v>16.2</x:v>
      </x:c>
      <x:c r="O225" s="12">
        <x:f>XLOOKUP(I225,SLA_Rules!$A$4:$A$7,SLA_Rules!$B$4:$B$7,"")</x:f>
        <x:v>24</x:v>
      </x:c>
      <x:c r="P225" s="12" t="str">
        <x:f>IF(J225&lt;&gt;"Resolved","Pending",IF(N225&lt;=O225,"Yes","No"))</x:f>
        <x:v>Yes</x:v>
      </x:c>
      <x:c r="Q225" s="10" t="inlineStr">
        <x:is>
          <x:t xml:space="preserve">No</x:t>
        </x:is>
      </x:c>
      <x:c r="R225" s="12" t="n">
        <x:v>4</x:v>
      </x:c>
      <x:c r="S225" s="11" t="inlineStr">
        <x:is>
          <x:t xml:space="preserve">Pending update</x:t>
        </x:is>
      </x:c>
      <x:c r="T225" s="5" t="inlineStr">
        <x:is>
          <x:t xml:space="preserve">Completed identity validation and processed password reset successfully.</x:t>
        </x:is>
      </x:c>
      <x:c r="U225" s="44" t="n">
        <x:v>46093.55555555555</x:v>
      </x:c>
    </x:row>
    <x:row r="226">
      <x:c r="A226" s="8" t="inlineStr">
        <x:is>
          <x:t xml:space="preserve">INC-202603-0225</x:t>
        </x:is>
      </x:c>
      <x:c r="B226" s="44" t="n">
        <x:v>46107.66527777778</x:v>
      </x:c>
      <x:c r="C226" s="10" t="inlineStr">
        <x:is>
          <x:t xml:space="preserve">US</x:t>
        </x:is>
      </x:c>
      <x:c r="D226" s="8" t="inlineStr">
        <x:is>
          <x:t xml:space="preserve">User 225</x:t>
        </x:is>
      </x:c>
      <x:c r="E226" s="11" t="inlineStr">
        <x:is>
          <x:t xml:space="preserve">Risk Advisory</x:t>
        </x:is>
      </x:c>
      <x:c r="F226" s="10" t="inlineStr">
        <x:is>
          <x:t xml:space="preserve">Phone</x:t>
        </x:is>
      </x:c>
      <x:c r="G226" s="11" t="inlineStr">
        <x:is>
          <x:t xml:space="preserve">Network &amp; VPN</x:t>
        </x:is>
      </x:c>
      <x:c r="H226" s="11" t="inlineStr">
        <x:is>
          <x:t xml:space="preserve">VPN not connecting</x:t>
        </x:is>
      </x:c>
      <x:c r="I226" s="10" t="inlineStr">
        <x:is>
          <x:t xml:space="preserve">High</x:t>
        </x:is>
      </x:c>
      <x:c r="J226" s="10" t="inlineStr">
        <x:is>
          <x:t xml:space="preserve">Resolved</x:t>
        </x:is>
      </x:c>
      <x:c r="K226" s="11" t="inlineStr">
        <x:is>
          <x:t xml:space="preserve">L1 Network Support</x:t>
        </x:is>
      </x:c>
      <x:c r="L226" s="10" t="inlineStr">
        <x:is>
          <x:t xml:space="preserve">Agent F</x:t>
        </x:is>
      </x:c>
      <x:c r="M226" s="12" t="n">
        <x:v>25</x:v>
      </x:c>
      <x:c r="N226" s="45" t="n">
        <x:v>9.6</x:v>
      </x:c>
      <x:c r="O226" s="12">
        <x:f>XLOOKUP(I226,SLA_Rules!$A$4:$A$7,SLA_Rules!$B$4:$B$7,"")</x:f>
        <x:v>8</x:v>
      </x:c>
      <x:c r="P226" s="12" t="str">
        <x:f>IF(J226&lt;&gt;"Resolved","Pending",IF(N226&lt;=O226,"Yes","No"))</x:f>
        <x:v>No</x:v>
      </x:c>
      <x:c r="Q226" s="10" t="inlineStr">
        <x:is>
          <x:t xml:space="preserve">Yes</x:t>
        </x:is>
      </x:c>
      <x:c r="R226" s="12" t="n">
        <x:v>5</x:v>
      </x:c>
      <x:c r="S226" s="11" t="inlineStr">
        <x:is>
          <x:t xml:space="preserve">Driver problem</x:t>
        </x:is>
      </x:c>
      <x:c r="T226" s="5" t="inlineStr">
        <x:is>
          <x:t xml:space="preserve">Checked connectivity path, reconfigured VPN settings, and confirmed stable access.</x:t>
        </x:is>
      </x:c>
      <x:c r="U226" s="44" t="n">
        <x:v>46108.06527777778</x:v>
      </x:c>
    </x:row>
    <x:row r="227">
      <x:c r="A227" s="8" t="inlineStr">
        <x:is>
          <x:t xml:space="preserve">INC-202603-0226</x:t>
        </x:is>
      </x:c>
      <x:c r="B227" s="44" t="n">
        <x:v>46084.30694444444</x:v>
      </x:c>
      <x:c r="C227" s="10" t="inlineStr">
        <x:is>
          <x:t xml:space="preserve">India</x:t>
        </x:is>
      </x:c>
      <x:c r="D227" s="8" t="inlineStr">
        <x:is>
          <x:t xml:space="preserve">User 226</x:t>
        </x:is>
      </x:c>
      <x:c r="E227" s="11" t="inlineStr">
        <x:is>
          <x:t xml:space="preserve">Consulting</x:t>
        </x:is>
      </x:c>
      <x:c r="F227" s="10" t="inlineStr">
        <x:is>
          <x:t xml:space="preserve">Chat</x:t>
        </x:is>
      </x:c>
      <x:c r="G227" s="11" t="inlineStr">
        <x:is>
          <x:t xml:space="preserve">Login &amp; Access</x:t>
        </x:is>
      </x:c>
      <x:c r="H227" s="11" t="inlineStr">
        <x:is>
          <x:t xml:space="preserve">Account locked</x:t>
        </x:is>
      </x:c>
      <x:c r="I227" s="10" t="inlineStr">
        <x:is>
          <x:t xml:space="preserve">High</x:t>
        </x:is>
      </x:c>
      <x:c r="J227" s="10" t="inlineStr">
        <x:is>
          <x:t xml:space="preserve">Resolved</x:t>
        </x:is>
      </x:c>
      <x:c r="K227" s="11" t="inlineStr">
        <x:is>
          <x:t xml:space="preserve">L1 Identity Support</x:t>
        </x:is>
      </x:c>
      <x:c r="L227" s="10" t="inlineStr">
        <x:is>
          <x:t xml:space="preserve">Agent F</x:t>
        </x:is>
      </x:c>
      <x:c r="M227" s="12" t="n">
        <x:v>32</x:v>
      </x:c>
      <x:c r="N227" s="45" t="n">
        <x:v>6.8</x:v>
      </x:c>
      <x:c r="O227" s="12">
        <x:f>XLOOKUP(I227,SLA_Rules!$A$4:$A$7,SLA_Rules!$B$4:$B$7,"")</x:f>
        <x:v>8</x:v>
      </x:c>
      <x:c r="P227" s="12" t="str">
        <x:f>IF(J227&lt;&gt;"Resolved","Pending",IF(N227&lt;=O227,"Yes","No"))</x:f>
        <x:v>Yes</x:v>
      </x:c>
      <x:c r="Q227" s="10" t="inlineStr">
        <x:is>
          <x:t xml:space="preserve">No</x:t>
        </x:is>
      </x:c>
      <x:c r="R227" s="12" t="n">
        <x:v>5</x:v>
      </x:c>
      <x:c r="S227" s="11" t="inlineStr">
        <x:is>
          <x:t xml:space="preserve">Expired password</x:t>
        </x:is>
      </x:c>
      <x:c r="T227" s="5" t="inlineStr">
        <x:is>
          <x:t xml:space="preserve">Validated identity, restored access path, and confirmed successful login.</x:t>
        </x:is>
      </x:c>
      <x:c r="U227" s="44" t="n">
        <x:v>46084.59027777778</x:v>
      </x:c>
    </x:row>
    <x:row r="228">
      <x:c r="A228" s="8" t="inlineStr">
        <x:is>
          <x:t xml:space="preserve">INC-202603-0227</x:t>
        </x:is>
      </x:c>
      <x:c r="B228" s="44" t="n">
        <x:v>46098.16319444445</x:v>
      </x:c>
      <x:c r="C228" s="10" t="inlineStr">
        <x:is>
          <x:t xml:space="preserve">APAC</x:t>
        </x:is>
      </x:c>
      <x:c r="D228" s="8" t="inlineStr">
        <x:is>
          <x:t xml:space="preserve">User 227</x:t>
        </x:is>
      </x:c>
      <x:c r="E228" s="11" t="inlineStr">
        <x:is>
          <x:t xml:space="preserve">Tax</x:t>
        </x:is>
      </x:c>
      <x:c r="F228" s="10" t="inlineStr">
        <x:is>
          <x:t xml:space="preserve">Email</x:t>
        </x:is>
      </x:c>
      <x:c r="G228" s="11" t="inlineStr">
        <x:is>
          <x:t xml:space="preserve">Software &amp; Application</x:t>
        </x:is>
      </x:c>
      <x:c r="H228" s="11" t="inlineStr">
        <x:is>
          <x:t xml:space="preserve">Plugin error</x:t>
        </x:is>
      </x:c>
      <x:c r="I228" s="10" t="inlineStr">
        <x:is>
          <x:t xml:space="preserve">Medium</x:t>
        </x:is>
      </x:c>
      <x:c r="J228" s="10" t="inlineStr">
        <x:is>
          <x:t xml:space="preserve">Resolved</x:t>
        </x:is>
      </x:c>
      <x:c r="K228" s="11" t="inlineStr">
        <x:is>
          <x:t xml:space="preserve">L1 Endpoint Support</x:t>
        </x:is>
      </x:c>
      <x:c r="L228" s="10" t="inlineStr">
        <x:is>
          <x:t xml:space="preserve">Agent B</x:t>
        </x:is>
      </x:c>
      <x:c r="M228" s="12" t="n">
        <x:v>64</x:v>
      </x:c>
      <x:c r="N228" s="45" t="n">
        <x:v>9.199999999999999</x:v>
      </x:c>
      <x:c r="O228" s="12">
        <x:f>XLOOKUP(I228,SLA_Rules!$A$4:$A$7,SLA_Rules!$B$4:$B$7,"")</x:f>
        <x:v>16</x:v>
      </x:c>
      <x:c r="P228" s="12" t="str">
        <x:f>IF(J228&lt;&gt;"Resolved","Pending",IF(N228&lt;=O228,"Yes","No"))</x:f>
        <x:v>Yes</x:v>
      </x:c>
      <x:c r="Q228" s="10" t="inlineStr">
        <x:is>
          <x:t xml:space="preserve">No</x:t>
        </x:is>
      </x:c>
      <x:c r="R228" s="12" t="n">
        <x:v>3</x:v>
      </x:c>
      <x:c r="S228" s="11" t="inlineStr">
        <x:is>
          <x:t xml:space="preserve">Configuration drift</x:t>
        </x:is>
      </x:c>
      <x:c r="T228" s="5" t="inlineStr">
        <x:is>
          <x:t xml:space="preserve">Validated installation/configuration and completed application repair steps.</x:t>
        </x:is>
      </x:c>
      <x:c r="U228" s="44" t="n">
        <x:v>46098.54652777778</x:v>
      </x:c>
    </x:row>
    <x:row r="229">
      <x:c r="A229" s="8" t="inlineStr">
        <x:is>
          <x:t xml:space="preserve">INC-202603-0228</x:t>
        </x:is>
      </x:c>
      <x:c r="B229" s="44" t="n">
        <x:v>46109.92430555556</x:v>
      </x:c>
      <x:c r="C229" s="10" t="inlineStr">
        <x:is>
          <x:t xml:space="preserve">US</x:t>
        </x:is>
      </x:c>
      <x:c r="D229" s="8" t="inlineStr">
        <x:is>
          <x:t xml:space="preserve">User 228</x:t>
        </x:is>
      </x:c>
      <x:c r="E229" s="11" t="inlineStr">
        <x:is>
          <x:t xml:space="preserve">Operations</x:t>
        </x:is>
      </x:c>
      <x:c r="F229" s="10" t="inlineStr">
        <x:is>
          <x:t xml:space="preserve">Web Ticket</x:t>
        </x:is>
      </x:c>
      <x:c r="G229" s="11" t="inlineStr">
        <x:is>
          <x:t xml:space="preserve">Login &amp; Access</x:t>
        </x:is>
      </x:c>
      <x:c r="H229" s="11" t="inlineStr">
        <x:is>
          <x:t xml:space="preserve">SSO failure</x:t>
        </x:is>
      </x:c>
      <x:c r="I229" s="10" t="inlineStr">
        <x:is>
          <x:t xml:space="preserve">Medium</x:t>
        </x:is>
      </x:c>
      <x:c r="J229" s="10" t="inlineStr">
        <x:is>
          <x:t xml:space="preserve">Resolved</x:t>
        </x:is>
      </x:c>
      <x:c r="K229" s="11" t="inlineStr">
        <x:is>
          <x:t xml:space="preserve">L1 Global Service Desk</x:t>
        </x:is>
      </x:c>
      <x:c r="L229" s="10" t="inlineStr">
        <x:is>
          <x:t xml:space="preserve">Agent C</x:t>
        </x:is>
      </x:c>
      <x:c r="M229" s="12" t="n">
        <x:v>34</x:v>
      </x:c>
      <x:c r="N229" s="45" t="n">
        <x:v>8.6</x:v>
      </x:c>
      <x:c r="O229" s="12">
        <x:f>XLOOKUP(I229,SLA_Rules!$A$4:$A$7,SLA_Rules!$B$4:$B$7,"")</x:f>
        <x:v>16</x:v>
      </x:c>
      <x:c r="P229" s="12" t="str">
        <x:f>IF(J229&lt;&gt;"Resolved","Pending",IF(N229&lt;=O229,"Yes","No"))</x:f>
        <x:v>Yes</x:v>
      </x:c>
      <x:c r="Q229" s="10" t="inlineStr">
        <x:is>
          <x:t xml:space="preserve">No</x:t>
        </x:is>
      </x:c>
      <x:c r="R229" s="12" t="n">
        <x:v>4</x:v>
      </x:c>
      <x:c r="S229" s="11" t="inlineStr">
        <x:is>
          <x:t xml:space="preserve">User error</x:t>
        </x:is>
      </x:c>
      <x:c r="T229" s="5" t="inlineStr">
        <x:is>
          <x:t xml:space="preserve">Validated identity, restored access path, and confirmed successful login.</x:t>
        </x:is>
      </x:c>
      <x:c r="U229" s="44" t="n">
        <x:v>46110.28263888889</x:v>
      </x:c>
    </x:row>
    <x:row r="230">
      <x:c r="A230" s="8" t="inlineStr">
        <x:is>
          <x:t xml:space="preserve">INC-202603-0229</x:t>
        </x:is>
      </x:c>
      <x:c r="B230" s="44" t="n">
        <x:v>46101.56944444445</x:v>
      </x:c>
      <x:c r="C230" s="10" t="inlineStr">
        <x:is>
          <x:t xml:space="preserve">India</x:t>
        </x:is>
      </x:c>
      <x:c r="D230" s="8" t="inlineStr">
        <x:is>
          <x:t xml:space="preserve">User 229</x:t>
        </x:is>
      </x:c>
      <x:c r="E230" s="11" t="inlineStr">
        <x:is>
          <x:t xml:space="preserve">Operations</x:t>
        </x:is>
      </x:c>
      <x:c r="F230" s="10" t="inlineStr">
        <x:is>
          <x:t xml:space="preserve">Chat</x:t>
        </x:is>
      </x:c>
      <x:c r="G230" s="11" t="inlineStr">
        <x:is>
          <x:t xml:space="preserve">Login &amp; Access</x:t>
        </x:is>
      </x:c>
      <x:c r="H230" s="11" t="inlineStr">
        <x:is>
          <x:t xml:space="preserve">MFA prompt loop</x:t>
        </x:is>
      </x:c>
      <x:c r="I230" s="10" t="inlineStr">
        <x:is>
          <x:t xml:space="preserve">High</x:t>
        </x:is>
      </x:c>
      <x:c r="J230" s="10" t="inlineStr">
        <x:is>
          <x:t xml:space="preserve">In Progress</x:t>
        </x:is>
      </x:c>
      <x:c r="K230" s="11" t="inlineStr">
        <x:is>
          <x:t xml:space="preserve">L1 Global Service Desk</x:t>
        </x:is>
      </x:c>
      <x:c r="L230" s="10" t="inlineStr">
        <x:is>
          <x:t xml:space="preserve">Agent B</x:t>
        </x:is>
      </x:c>
      <x:c r="M230" s="12" t="n">
        <x:v>36</x:v>
      </x:c>
      <x:c r="N230" s="12" t="n"/>
      <x:c r="O230" s="12">
        <x:f>XLOOKUP(I230,SLA_Rules!$A$4:$A$7,SLA_Rules!$B$4:$B$7,"")</x:f>
        <x:v>8</x:v>
      </x:c>
      <x:c r="P230" s="12" t="str">
        <x:f>IF(J230&lt;&gt;"Resolved","Pending",IF(N230&lt;=O230,"Yes","No"))</x:f>
        <x:v>Pending</x:v>
      </x:c>
      <x:c r="Q230" s="10" t="inlineStr">
        <x:is>
          <x:t xml:space="preserve">No</x:t>
        </x:is>
      </x:c>
      <x:c r="R230" s="12" t="n"/>
      <x:c r="S230" s="11" t="inlineStr">
        <x:is>
          <x:t xml:space="preserve">Pending update</x:t>
        </x:is>
      </x:c>
      <x:c r="T230" s="5" t="inlineStr">
        <x:is>
          <x:t xml:space="preserve">Validated identity, restored access path, and confirmed successful login.</x:t>
        </x:is>
      </x:c>
      <x:c r="U230" s="8" t="n"/>
    </x:row>
    <x:row r="231">
      <x:c r="A231" s="8" t="inlineStr">
        <x:is>
          <x:t xml:space="preserve">INC-202603-0230</x:t>
        </x:is>
      </x:c>
      <x:c r="B231" s="44" t="n">
        <x:v>46082.86527777778</x:v>
      </x:c>
      <x:c r="C231" s="10" t="inlineStr">
        <x:is>
          <x:t xml:space="preserve">APAC</x:t>
        </x:is>
      </x:c>
      <x:c r="D231" s="8" t="inlineStr">
        <x:is>
          <x:t xml:space="preserve">User 230</x:t>
        </x:is>
      </x:c>
      <x:c r="E231" s="11" t="inlineStr">
        <x:is>
          <x:t xml:space="preserve">Risk Advisory</x:t>
        </x:is>
      </x:c>
      <x:c r="F231" s="10" t="inlineStr">
        <x:is>
          <x:t xml:space="preserve">Web Ticket</x:t>
        </x:is>
      </x:c>
      <x:c r="G231" s="11" t="inlineStr">
        <x:is>
          <x:t xml:space="preserve">Login &amp; Access</x:t>
        </x:is>
      </x:c>
      <x:c r="H231" s="11" t="inlineStr">
        <x:is>
          <x:t xml:space="preserve">Shared drive permission</x:t>
        </x:is>
      </x:c>
      <x:c r="I231" s="10" t="inlineStr">
        <x:is>
          <x:t xml:space="preserve">High</x:t>
        </x:is>
      </x:c>
      <x:c r="J231" s="10" t="inlineStr">
        <x:is>
          <x:t xml:space="preserve">Resolved</x:t>
        </x:is>
      </x:c>
      <x:c r="K231" s="11" t="inlineStr">
        <x:is>
          <x:t xml:space="preserve">L1 Global Service Desk</x:t>
        </x:is>
      </x:c>
      <x:c r="L231" s="10" t="inlineStr">
        <x:is>
          <x:t xml:space="preserve">Agent F</x:t>
        </x:is>
      </x:c>
      <x:c r="M231" s="12" t="n">
        <x:v>28</x:v>
      </x:c>
      <x:c r="N231" s="45" t="n">
        <x:v>5.6</x:v>
      </x:c>
      <x:c r="O231" s="12">
        <x:f>XLOOKUP(I231,SLA_Rules!$A$4:$A$7,SLA_Rules!$B$4:$B$7,"")</x:f>
        <x:v>8</x:v>
      </x:c>
      <x:c r="P231" s="12" t="str">
        <x:f>IF(J231&lt;&gt;"Resolved","Pending",IF(N231&lt;=O231,"Yes","No"))</x:f>
        <x:v>Yes</x:v>
      </x:c>
      <x:c r="Q231" s="10" t="inlineStr">
        <x:is>
          <x:t xml:space="preserve">No</x:t>
        </x:is>
      </x:c>
      <x:c r="R231" s="12" t="n">
        <x:v>4</x:v>
      </x:c>
      <x:c r="S231" s="11" t="inlineStr">
        <x:is>
          <x:t xml:space="preserve">Driver problem</x:t>
        </x:is>
      </x:c>
      <x:c r="T231" s="5" t="inlineStr">
        <x:is>
          <x:t xml:space="preserve">Validated identity, restored access path, and confirmed successful login.</x:t>
        </x:is>
      </x:c>
      <x:c r="U231" s="44" t="n">
        <x:v>46083.09861111111</x:v>
      </x:c>
    </x:row>
    <x:row r="232">
      <x:c r="A232" s="8" t="inlineStr">
        <x:is>
          <x:t xml:space="preserve">INC-202603-0231</x:t>
        </x:is>
      </x:c>
      <x:c r="B232" s="44" t="n">
        <x:v>46086.45625</x:v>
      </x:c>
      <x:c r="C232" s="10" t="inlineStr">
        <x:is>
          <x:t xml:space="preserve">India</x:t>
        </x:is>
      </x:c>
      <x:c r="D232" s="8" t="inlineStr">
        <x:is>
          <x:t xml:space="preserve">User 231</x:t>
        </x:is>
      </x:c>
      <x:c r="E232" s="11" t="inlineStr">
        <x:is>
          <x:t xml:space="preserve">Finance</x:t>
        </x:is>
      </x:c>
      <x:c r="F232" s="10" t="inlineStr">
        <x:is>
          <x:t xml:space="preserve">Phone</x:t>
        </x:is>
      </x:c>
      <x:c r="G232" s="11" t="inlineStr">
        <x:is>
          <x:t xml:space="preserve">Software &amp; Application</x:t>
        </x:is>
      </x:c>
      <x:c r="H232" s="11" t="inlineStr">
        <x:is>
          <x:t xml:space="preserve">Install failed</x:t>
        </x:is>
      </x:c>
      <x:c r="I232" s="10" t="inlineStr">
        <x:is>
          <x:t xml:space="preserve">Medium</x:t>
        </x:is>
      </x:c>
      <x:c r="J232" s="10" t="inlineStr">
        <x:is>
          <x:t xml:space="preserve">In Progress</x:t>
        </x:is>
      </x:c>
      <x:c r="K232" s="11" t="inlineStr">
        <x:is>
          <x:t xml:space="preserve">L1 Endpoint Support</x:t>
        </x:is>
      </x:c>
      <x:c r="L232" s="10" t="inlineStr">
        <x:is>
          <x:t xml:space="preserve">Agent F</x:t>
        </x:is>
      </x:c>
      <x:c r="M232" s="12" t="n">
        <x:v>80</x:v>
      </x:c>
      <x:c r="N232" s="12" t="n"/>
      <x:c r="O232" s="12">
        <x:f>XLOOKUP(I232,SLA_Rules!$A$4:$A$7,SLA_Rules!$B$4:$B$7,"")</x:f>
        <x:v>16</x:v>
      </x:c>
      <x:c r="P232" s="12" t="str">
        <x:f>IF(J232&lt;&gt;"Resolved","Pending",IF(N232&lt;=O232,"Yes","No"))</x:f>
        <x:v>Pending</x:v>
      </x:c>
      <x:c r="Q232" s="10" t="inlineStr">
        <x:is>
          <x:t xml:space="preserve">No</x:t>
        </x:is>
      </x:c>
      <x:c r="R232" s="12" t="n"/>
      <x:c r="S232" s="11" t="inlineStr">
        <x:is>
          <x:t xml:space="preserve">Network instability</x:t>
        </x:is>
      </x:c>
      <x:c r="T232" s="5" t="inlineStr">
        <x:is>
          <x:t xml:space="preserve">Validated installation/configuration and completed application repair steps.</x:t>
        </x:is>
      </x:c>
      <x:c r="U232" s="8" t="n"/>
    </x:row>
    <x:row r="233">
      <x:c r="A233" s="8" t="inlineStr">
        <x:is>
          <x:t xml:space="preserve">INC-202603-0232</x:t>
        </x:is>
      </x:c>
      <x:c r="B233" s="44" t="n">
        <x:v>46093.94513888889</x:v>
      </x:c>
      <x:c r="C233" s="10" t="inlineStr">
        <x:is>
          <x:t xml:space="preserve">UK</x:t>
        </x:is>
      </x:c>
      <x:c r="D233" s="8" t="inlineStr">
        <x:is>
          <x:t xml:space="preserve">User 232</x:t>
        </x:is>
      </x:c>
      <x:c r="E233" s="11" t="inlineStr">
        <x:is>
          <x:t xml:space="preserve">Audit</x:t>
        </x:is>
      </x:c>
      <x:c r="F233" s="10" t="inlineStr">
        <x:is>
          <x:t xml:space="preserve">Phone</x:t>
        </x:is>
      </x:c>
      <x:c r="G233" s="11" t="inlineStr">
        <x:is>
          <x:t xml:space="preserve">Login &amp; Access</x:t>
        </x:is>
      </x:c>
      <x:c r="H233" s="11" t="inlineStr">
        <x:is>
          <x:t xml:space="preserve">Access denied</x:t>
        </x:is>
      </x:c>
      <x:c r="I233" s="10" t="inlineStr">
        <x:is>
          <x:t xml:space="preserve">Critical</x:t>
        </x:is>
      </x:c>
      <x:c r="J233" s="10" t="inlineStr">
        <x:is>
          <x:t xml:space="preserve">Resolved</x:t>
        </x:is>
      </x:c>
      <x:c r="K233" s="11" t="inlineStr">
        <x:is>
          <x:t xml:space="preserve">L1 Global Service Desk</x:t>
        </x:is>
      </x:c>
      <x:c r="L233" s="10" t="inlineStr">
        <x:is>
          <x:t xml:space="preserve">Agent A</x:t>
        </x:is>
      </x:c>
      <x:c r="M233" s="12" t="n">
        <x:v>11</x:v>
      </x:c>
      <x:c r="N233" s="45" t="n">
        <x:v>1.8</x:v>
      </x:c>
      <x:c r="O233" s="12">
        <x:f>XLOOKUP(I233,SLA_Rules!$A$4:$A$7,SLA_Rules!$B$4:$B$7,"")</x:f>
        <x:v>4</x:v>
      </x:c>
      <x:c r="P233" s="12" t="str">
        <x:f>IF(J233&lt;&gt;"Resolved","Pending",IF(N233&lt;=O233,"Yes","No"))</x:f>
        <x:v>Yes</x:v>
      </x:c>
      <x:c r="Q233" s="10" t="inlineStr">
        <x:is>
          <x:t xml:space="preserve">No</x:t>
        </x:is>
      </x:c>
      <x:c r="R233" s="12" t="n">
        <x:v>5</x:v>
      </x:c>
      <x:c r="S233" s="11" t="inlineStr">
        <x:is>
          <x:t xml:space="preserve">Policy enforcement</x:t>
        </x:is>
      </x:c>
      <x:c r="T233" s="5" t="inlineStr">
        <x:is>
          <x:t xml:space="preserve">Validated identity, restored access path, and confirmed successful login.</x:t>
        </x:is>
      </x:c>
      <x:c r="U233" s="44" t="n">
        <x:v>46094.02013888889</x:v>
      </x:c>
    </x:row>
    <x:row r="234">
      <x:c r="A234" s="8" t="inlineStr">
        <x:is>
          <x:t xml:space="preserve">INC-202603-0233</x:t>
        </x:is>
      </x:c>
      <x:c r="B234" s="44" t="n">
        <x:v>46097.92291666667</x:v>
      </x:c>
      <x:c r="C234" s="10" t="inlineStr">
        <x:is>
          <x:t xml:space="preserve">India</x:t>
        </x:is>
      </x:c>
      <x:c r="D234" s="8" t="inlineStr">
        <x:is>
          <x:t xml:space="preserve">User 233</x:t>
        </x:is>
      </x:c>
      <x:c r="E234" s="11" t="inlineStr">
        <x:is>
          <x:t xml:space="preserve">Tax</x:t>
        </x:is>
      </x:c>
      <x:c r="F234" s="10" t="inlineStr">
        <x:is>
          <x:t xml:space="preserve">Email</x:t>
        </x:is>
      </x:c>
      <x:c r="G234" s="11" t="inlineStr">
        <x:is>
          <x:t xml:space="preserve">Printer &amp; Peripheral</x:t>
        </x:is>
      </x:c>
      <x:c r="H234" s="11" t="inlineStr">
        <x:is>
          <x:t xml:space="preserve">Printer offline</x:t>
        </x:is>
      </x:c>
      <x:c r="I234" s="10" t="inlineStr">
        <x:is>
          <x:t xml:space="preserve">Low</x:t>
        </x:is>
      </x:c>
      <x:c r="J234" s="10" t="inlineStr">
        <x:is>
          <x:t xml:space="preserve">Resolved</x:t>
        </x:is>
      </x:c>
      <x:c r="K234" s="11" t="inlineStr">
        <x:is>
          <x:t xml:space="preserve">L1 Network Support</x:t>
        </x:is>
      </x:c>
      <x:c r="L234" s="10" t="inlineStr">
        <x:is>
          <x:t xml:space="preserve">Agent C</x:t>
        </x:is>
      </x:c>
      <x:c r="M234" s="12" t="n">
        <x:v>26</x:v>
      </x:c>
      <x:c r="N234" s="45" t="n">
        <x:v>16.8</x:v>
      </x:c>
      <x:c r="O234" s="12">
        <x:f>XLOOKUP(I234,SLA_Rules!$A$4:$A$7,SLA_Rules!$B$4:$B$7,"")</x:f>
        <x:v>24</x:v>
      </x:c>
      <x:c r="P234" s="12" t="str">
        <x:f>IF(J234&lt;&gt;"Resolved","Pending",IF(N234&lt;=O234,"Yes","No"))</x:f>
        <x:v>Yes</x:v>
      </x:c>
      <x:c r="Q234" s="10" t="inlineStr">
        <x:is>
          <x:t xml:space="preserve">No</x:t>
        </x:is>
      </x:c>
      <x:c r="R234" s="12" t="n">
        <x:v>4</x:v>
      </x:c>
      <x:c r="S234" s="11" t="inlineStr">
        <x:is>
          <x:t xml:space="preserve">Credential issue</x:t>
        </x:is>
      </x:c>
      <x:c r="T234" s="5" t="inlineStr">
        <x:is>
          <x:t xml:space="preserve">Remapped device/driver and confirmed successful test output.</x:t>
        </x:is>
      </x:c>
      <x:c r="U234" s="44" t="n">
        <x:v>46098.62291666667</x:v>
      </x:c>
    </x:row>
    <x:row r="235">
      <x:c r="A235" s="8" t="inlineStr">
        <x:is>
          <x:t xml:space="preserve">INC-202603-0234</x:t>
        </x:is>
      </x:c>
      <x:c r="B235" s="44" t="n">
        <x:v>46101.1375</x:v>
      </x:c>
      <x:c r="C235" s="10" t="inlineStr">
        <x:is>
          <x:t xml:space="preserve">India</x:t>
        </x:is>
      </x:c>
      <x:c r="D235" s="8" t="inlineStr">
        <x:is>
          <x:t xml:space="preserve">User 234</x:t>
        </x:is>
      </x:c>
      <x:c r="E235" s="11" t="inlineStr">
        <x:is>
          <x:t xml:space="preserve">Tax</x:t>
        </x:is>
      </x:c>
      <x:c r="F235" s="10" t="inlineStr">
        <x:is>
          <x:t xml:space="preserve">Chat</x:t>
        </x:is>
      </x:c>
      <x:c r="G235" s="11" t="inlineStr">
        <x:is>
          <x:t xml:space="preserve">Software &amp; Application</x:t>
        </x:is>
      </x:c>
      <x:c r="H235" s="11" t="inlineStr">
        <x:is>
          <x:t xml:space="preserve">License activation</x:t>
        </x:is>
      </x:c>
      <x:c r="I235" s="10" t="inlineStr">
        <x:is>
          <x:t xml:space="preserve">Low</x:t>
        </x:is>
      </x:c>
      <x:c r="J235" s="10" t="inlineStr">
        <x:is>
          <x:t xml:space="preserve">Resolved</x:t>
        </x:is>
      </x:c>
      <x:c r="K235" s="11" t="inlineStr">
        <x:is>
          <x:t xml:space="preserve">L1 Network Support</x:t>
        </x:is>
      </x:c>
      <x:c r="L235" s="10" t="inlineStr">
        <x:is>
          <x:t xml:space="preserve">Agent F</x:t>
        </x:is>
      </x:c>
      <x:c r="M235" s="12" t="n">
        <x:v>74</x:v>
      </x:c>
      <x:c r="N235" s="45" t="n">
        <x:v>5.6</x:v>
      </x:c>
      <x:c r="O235" s="12">
        <x:f>XLOOKUP(I235,SLA_Rules!$A$4:$A$7,SLA_Rules!$B$4:$B$7,"")</x:f>
        <x:v>24</x:v>
      </x:c>
      <x:c r="P235" s="12" t="str">
        <x:f>IF(J235&lt;&gt;"Resolved","Pending",IF(N235&lt;=O235,"Yes","No"))</x:f>
        <x:v>Yes</x:v>
      </x:c>
      <x:c r="Q235" s="10" t="inlineStr">
        <x:is>
          <x:t xml:space="preserve">No</x:t>
        </x:is>
      </x:c>
      <x:c r="R235" s="12" t="n">
        <x:v>5</x:v>
      </x:c>
      <x:c r="S235" s="11" t="inlineStr">
        <x:is>
          <x:t xml:space="preserve">Expired password</x:t>
        </x:is>
      </x:c>
      <x:c r="T235" s="5" t="inlineStr">
        <x:is>
          <x:t xml:space="preserve">Validated installation/configuration and completed application repair steps.</x:t>
        </x:is>
      </x:c>
      <x:c r="U235" s="44" t="n">
        <x:v>46101.37083333333</x:v>
      </x:c>
    </x:row>
    <x:row r="236">
      <x:c r="A236" s="8" t="inlineStr">
        <x:is>
          <x:t xml:space="preserve">INC-202603-0235</x:t>
        </x:is>
      </x:c>
      <x:c r="B236" s="44" t="n">
        <x:v>46111.63958333333</x:v>
      </x:c>
      <x:c r="C236" s="10" t="inlineStr">
        <x:is>
          <x:t xml:space="preserve">India</x:t>
        </x:is>
      </x:c>
      <x:c r="D236" s="8" t="inlineStr">
        <x:is>
          <x:t xml:space="preserve">User 235</x:t>
        </x:is>
      </x:c>
      <x:c r="E236" s="11" t="inlineStr">
        <x:is>
          <x:t xml:space="preserve">Operations</x:t>
        </x:is>
      </x:c>
      <x:c r="F236" s="10" t="inlineStr">
        <x:is>
          <x:t xml:space="preserve">Phone</x:t>
        </x:is>
      </x:c>
      <x:c r="G236" s="11" t="inlineStr">
        <x:is>
          <x:t xml:space="preserve">Hardware</x:t>
        </x:is>
      </x:c>
      <x:c r="H236" s="11" t="inlineStr">
        <x:is>
          <x:t xml:space="preserve">Webcam not detected</x:t>
        </x:is>
      </x:c>
      <x:c r="I236" s="10" t="inlineStr">
        <x:is>
          <x:t xml:space="preserve">Low</x:t>
        </x:is>
      </x:c>
      <x:c r="J236" s="10" t="inlineStr">
        <x:is>
          <x:t xml:space="preserve">Resolved</x:t>
        </x:is>
      </x:c>
      <x:c r="K236" s="11" t="inlineStr">
        <x:is>
          <x:t xml:space="preserve">L1 Identity Support</x:t>
        </x:is>
      </x:c>
      <x:c r="L236" s="10" t="inlineStr">
        <x:is>
          <x:t xml:space="preserve">Agent F</x:t>
        </x:is>
      </x:c>
      <x:c r="M236" s="12" t="n">
        <x:v>46</x:v>
      </x:c>
      <x:c r="N236" s="45" t="n">
        <x:v>3.8</x:v>
      </x:c>
      <x:c r="O236" s="12">
        <x:f>XLOOKUP(I236,SLA_Rules!$A$4:$A$7,SLA_Rules!$B$4:$B$7,"")</x:f>
        <x:v>24</x:v>
      </x:c>
      <x:c r="P236" s="12" t="str">
        <x:f>IF(J236&lt;&gt;"Resolved","Pending",IF(N236&lt;=O236,"Yes","No"))</x:f>
        <x:v>Yes</x:v>
      </x:c>
      <x:c r="Q236" s="10" t="inlineStr">
        <x:is>
          <x:t xml:space="preserve">No</x:t>
        </x:is>
      </x:c>
      <x:c r="R236" s="12" t="n">
        <x:v>5</x:v>
      </x:c>
      <x:c r="S236" s="11" t="inlineStr">
        <x:is>
          <x:t xml:space="preserve">Policy enforcement</x:t>
        </x:is>
      </x:c>
      <x:c r="T236" s="5" t="inlineStr">
        <x:is>
          <x:t xml:space="preserve">Ran endpoint checks and provided workaround or hardware escalation as needed.</x:t>
        </x:is>
      </x:c>
      <x:c r="U236" s="44" t="n">
        <x:v>46111.79791666667</x:v>
      </x:c>
    </x:row>
    <x:row r="237">
      <x:c r="A237" s="8" t="inlineStr">
        <x:is>
          <x:t xml:space="preserve">INC-202603-0236</x:t>
        </x:is>
      </x:c>
      <x:c r="B237" s="44" t="n">
        <x:v>46091.35347222222</x:v>
      </x:c>
      <x:c r="C237" s="10" t="inlineStr">
        <x:is>
          <x:t xml:space="preserve">India</x:t>
        </x:is>
      </x:c>
      <x:c r="D237" s="8" t="inlineStr">
        <x:is>
          <x:t xml:space="preserve">User 236</x:t>
        </x:is>
      </x:c>
      <x:c r="E237" s="11" t="inlineStr">
        <x:is>
          <x:t xml:space="preserve">Internal Services</x:t>
        </x:is>
      </x:c>
      <x:c r="F237" s="10" t="inlineStr">
        <x:is>
          <x:t xml:space="preserve">Chat</x:t>
        </x:is>
      </x:c>
      <x:c r="G237" s="11" t="inlineStr">
        <x:is>
          <x:t xml:space="preserve">Software &amp; Application</x:t>
        </x:is>
      </x:c>
      <x:c r="H237" s="11" t="inlineStr">
        <x:is>
          <x:t xml:space="preserve">Install failed</x:t>
        </x:is>
      </x:c>
      <x:c r="I237" s="10" t="inlineStr">
        <x:is>
          <x:t xml:space="preserve">Medium</x:t>
        </x:is>
      </x:c>
      <x:c r="J237" s="10" t="inlineStr">
        <x:is>
          <x:t xml:space="preserve">Resolved</x:t>
        </x:is>
      </x:c>
      <x:c r="K237" s="11" t="inlineStr">
        <x:is>
          <x:t xml:space="preserve">L1 Identity Support</x:t>
        </x:is>
      </x:c>
      <x:c r="L237" s="10" t="inlineStr">
        <x:is>
          <x:t xml:space="preserve">Agent D</x:t>
        </x:is>
      </x:c>
      <x:c r="M237" s="12" t="n">
        <x:v>17</x:v>
      </x:c>
      <x:c r="N237" s="45" t="n">
        <x:v>12.8</x:v>
      </x:c>
      <x:c r="O237" s="12">
        <x:f>XLOOKUP(I237,SLA_Rules!$A$4:$A$7,SLA_Rules!$B$4:$B$7,"")</x:f>
        <x:v>16</x:v>
      </x:c>
      <x:c r="P237" s="12" t="str">
        <x:f>IF(J237&lt;&gt;"Resolved","Pending",IF(N237&lt;=O237,"Yes","No"))</x:f>
        <x:v>Yes</x:v>
      </x:c>
      <x:c r="Q237" s="10" t="inlineStr">
        <x:is>
          <x:t xml:space="preserve">No</x:t>
        </x:is>
      </x:c>
      <x:c r="R237" s="12" t="n">
        <x:v>5</x:v>
      </x:c>
      <x:c r="S237" s="11" t="inlineStr">
        <x:is>
          <x:t xml:space="preserve">Application cache</x:t>
        </x:is>
      </x:c>
      <x:c r="T237" s="5" t="inlineStr">
        <x:is>
          <x:t xml:space="preserve">Validated installation/configuration and completed application repair steps.</x:t>
        </x:is>
      </x:c>
      <x:c r="U237" s="44" t="n">
        <x:v>46091.88680555556</x:v>
      </x:c>
    </x:row>
    <x:row r="238">
      <x:c r="A238" s="8" t="inlineStr">
        <x:is>
          <x:t xml:space="preserve">INC-202603-0237</x:t>
        </x:is>
      </x:c>
      <x:c r="B238" s="44" t="n">
        <x:v>46086.90347222222</x:v>
      </x:c>
      <x:c r="C238" s="10" t="inlineStr">
        <x:is>
          <x:t xml:space="preserve">India</x:t>
        </x:is>
      </x:c>
      <x:c r="D238" s="8" t="inlineStr">
        <x:is>
          <x:t xml:space="preserve">User 237</x:t>
        </x:is>
      </x:c>
      <x:c r="E238" s="11" t="inlineStr">
        <x:is>
          <x:t xml:space="preserve">Audit</x:t>
        </x:is>
      </x:c>
      <x:c r="F238" s="10" t="inlineStr">
        <x:is>
          <x:t xml:space="preserve">Chat</x:t>
        </x:is>
      </x:c>
      <x:c r="G238" s="11" t="inlineStr">
        <x:is>
          <x:t xml:space="preserve">Hardware</x:t>
        </x:is>
      </x:c>
      <x:c r="H238" s="11" t="inlineStr">
        <x:is>
          <x:t xml:space="preserve">Audio issue</x:t>
        </x:is>
      </x:c>
      <x:c r="I238" s="10" t="inlineStr">
        <x:is>
          <x:t xml:space="preserve">Medium</x:t>
        </x:is>
      </x:c>
      <x:c r="J238" s="10" t="inlineStr">
        <x:is>
          <x:t xml:space="preserve">Resolved</x:t>
        </x:is>
      </x:c>
      <x:c r="K238" s="11" t="inlineStr">
        <x:is>
          <x:t xml:space="preserve">L1 Global Service Desk</x:t>
        </x:is>
      </x:c>
      <x:c r="L238" s="10" t="inlineStr">
        <x:is>
          <x:t xml:space="preserve">Agent G</x:t>
        </x:is>
      </x:c>
      <x:c r="M238" s="12" t="n">
        <x:v>68</x:v>
      </x:c>
      <x:c r="N238" s="45" t="n">
        <x:v>7</x:v>
      </x:c>
      <x:c r="O238" s="12">
        <x:f>XLOOKUP(I238,SLA_Rules!$A$4:$A$7,SLA_Rules!$B$4:$B$7,"")</x:f>
        <x:v>16</x:v>
      </x:c>
      <x:c r="P238" s="12" t="str">
        <x:f>IF(J238&lt;&gt;"Resolved","Pending",IF(N238&lt;=O238,"Yes","No"))</x:f>
        <x:v>Yes</x:v>
      </x:c>
      <x:c r="Q238" s="10" t="inlineStr">
        <x:is>
          <x:t xml:space="preserve">No</x:t>
        </x:is>
      </x:c>
      <x:c r="R238" s="12" t="n">
        <x:v>5</x:v>
      </x:c>
      <x:c r="S238" s="11" t="inlineStr">
        <x:is>
          <x:t xml:space="preserve">Expired password</x:t>
        </x:is>
      </x:c>
      <x:c r="T238" s="5" t="inlineStr">
        <x:is>
          <x:t xml:space="preserve">Ran endpoint checks and provided workaround or hardware escalation as needed.</x:t>
        </x:is>
      </x:c>
      <x:c r="U238" s="44" t="n">
        <x:v>46087.19513888889</x:v>
      </x:c>
    </x:row>
    <x:row r="239">
      <x:c r="A239" s="8" t="inlineStr">
        <x:is>
          <x:t xml:space="preserve">INC-202603-0238</x:t>
        </x:is>
      </x:c>
      <x:c r="B239" s="44" t="n">
        <x:v>46094.95416666667</x:v>
      </x:c>
      <x:c r="C239" s="10" t="inlineStr">
        <x:is>
          <x:t xml:space="preserve">India</x:t>
        </x:is>
      </x:c>
      <x:c r="D239" s="8" t="inlineStr">
        <x:is>
          <x:t xml:space="preserve">User 238</x:t>
        </x:is>
      </x:c>
      <x:c r="E239" s="11" t="inlineStr">
        <x:is>
          <x:t xml:space="preserve">Operations</x:t>
        </x:is>
      </x:c>
      <x:c r="F239" s="10" t="inlineStr">
        <x:is>
          <x:t xml:space="preserve">Email</x:t>
        </x:is>
      </x:c>
      <x:c r="G239" s="11" t="inlineStr">
        <x:is>
          <x:t xml:space="preserve">Password Reset</x:t>
        </x:is>
      </x:c>
      <x:c r="H239" s="11" t="inlineStr">
        <x:is>
          <x:t xml:space="preserve">Password expired</x:t>
        </x:is>
      </x:c>
      <x:c r="I239" s="10" t="inlineStr">
        <x:is>
          <x:t xml:space="preserve">Low</x:t>
        </x:is>
      </x:c>
      <x:c r="J239" s="10" t="inlineStr">
        <x:is>
          <x:t xml:space="preserve">Resolved</x:t>
        </x:is>
      </x:c>
      <x:c r="K239" s="11" t="inlineStr">
        <x:is>
          <x:t xml:space="preserve">L1 Identity Support</x:t>
        </x:is>
      </x:c>
      <x:c r="L239" s="10" t="inlineStr">
        <x:is>
          <x:t xml:space="preserve">Agent G</x:t>
        </x:is>
      </x:c>
      <x:c r="M239" s="12" t="n">
        <x:v>66</x:v>
      </x:c>
      <x:c r="N239" s="45" t="n">
        <x:v>11.7</x:v>
      </x:c>
      <x:c r="O239" s="12">
        <x:f>XLOOKUP(I239,SLA_Rules!$A$4:$A$7,SLA_Rules!$B$4:$B$7,"")</x:f>
        <x:v>24</x:v>
      </x:c>
      <x:c r="P239" s="12" t="str">
        <x:f>IF(J239&lt;&gt;"Resolved","Pending",IF(N239&lt;=O239,"Yes","No"))</x:f>
        <x:v>Yes</x:v>
      </x:c>
      <x:c r="Q239" s="10" t="inlineStr">
        <x:is>
          <x:t xml:space="preserve">No</x:t>
        </x:is>
      </x:c>
      <x:c r="R239" s="12" t="n">
        <x:v>4</x:v>
      </x:c>
      <x:c r="S239" s="11" t="inlineStr">
        <x:is>
          <x:t xml:space="preserve">User error</x:t>
        </x:is>
      </x:c>
      <x:c r="T239" s="5" t="inlineStr">
        <x:is>
          <x:t xml:space="preserve">Completed identity validation and processed password reset successfully.</x:t>
        </x:is>
      </x:c>
      <x:c r="U239" s="44" t="n">
        <x:v>46095.44166666667</x:v>
      </x:c>
    </x:row>
    <x:row r="240">
      <x:c r="A240" s="8" t="inlineStr">
        <x:is>
          <x:t xml:space="preserve">INC-202603-0239</x:t>
        </x:is>
      </x:c>
      <x:c r="B240" s="44" t="n">
        <x:v>46094.48541666667</x:v>
      </x:c>
      <x:c r="C240" s="10" t="inlineStr">
        <x:is>
          <x:t xml:space="preserve">US</x:t>
        </x:is>
      </x:c>
      <x:c r="D240" s="8" t="inlineStr">
        <x:is>
          <x:t xml:space="preserve">User 239</x:t>
        </x:is>
      </x:c>
      <x:c r="E240" s="11" t="inlineStr">
        <x:is>
          <x:t xml:space="preserve">Operations</x:t>
        </x:is>
      </x:c>
      <x:c r="F240" s="10" t="inlineStr">
        <x:is>
          <x:t xml:space="preserve">Chat</x:t>
        </x:is>
      </x:c>
      <x:c r="G240" s="11" t="inlineStr">
        <x:is>
          <x:t xml:space="preserve">Printer &amp; Peripheral</x:t>
        </x:is>
      </x:c>
      <x:c r="H240" s="11" t="inlineStr">
        <x:is>
          <x:t xml:space="preserve">Scanner issue</x:t>
        </x:is>
      </x:c>
      <x:c r="I240" s="10" t="inlineStr">
        <x:is>
          <x:t xml:space="preserve">Low</x:t>
        </x:is>
      </x:c>
      <x:c r="J240" s="10" t="inlineStr">
        <x:is>
          <x:t xml:space="preserve">Resolved</x:t>
        </x:is>
      </x:c>
      <x:c r="K240" s="11" t="inlineStr">
        <x:is>
          <x:t xml:space="preserve">L1 Identity Support</x:t>
        </x:is>
      </x:c>
      <x:c r="L240" s="10" t="inlineStr">
        <x:is>
          <x:t xml:space="preserve">Agent E</x:t>
        </x:is>
      </x:c>
      <x:c r="M240" s="12" t="n">
        <x:v>57</x:v>
      </x:c>
      <x:c r="N240" s="45" t="n">
        <x:v>16.7</x:v>
      </x:c>
      <x:c r="O240" s="12">
        <x:f>XLOOKUP(I240,SLA_Rules!$A$4:$A$7,SLA_Rules!$B$4:$B$7,"")</x:f>
        <x:v>24</x:v>
      </x:c>
      <x:c r="P240" s="12" t="str">
        <x:f>IF(J240&lt;&gt;"Resolved","Pending",IF(N240&lt;=O240,"Yes","No"))</x:f>
        <x:v>Yes</x:v>
      </x:c>
      <x:c r="Q240" s="10" t="inlineStr">
        <x:is>
          <x:t xml:space="preserve">No</x:t>
        </x:is>
      </x:c>
      <x:c r="R240" s="12" t="n">
        <x:v>5</x:v>
      </x:c>
      <x:c r="S240" s="11" t="inlineStr">
        <x:is>
          <x:t xml:space="preserve">Permission mismatch</x:t>
        </x:is>
      </x:c>
      <x:c r="T240" s="5" t="inlineStr">
        <x:is>
          <x:t xml:space="preserve">Remapped device/driver and confirmed successful test output.</x:t>
        </x:is>
      </x:c>
      <x:c r="U240" s="44" t="n">
        <x:v>46095.18125</x:v>
      </x:c>
    </x:row>
    <x:row r="241">
      <x:c r="A241" s="8" t="inlineStr">
        <x:is>
          <x:t xml:space="preserve">INC-202603-0240</x:t>
        </x:is>
      </x:c>
      <x:c r="B241" s="44" t="n">
        <x:v>46098.94722222222</x:v>
      </x:c>
      <x:c r="C241" s="10" t="inlineStr">
        <x:is>
          <x:t xml:space="preserve">India</x:t>
        </x:is>
      </x:c>
      <x:c r="D241" s="8" t="inlineStr">
        <x:is>
          <x:t xml:space="preserve">User 240</x:t>
        </x:is>
      </x:c>
      <x:c r="E241" s="11" t="inlineStr">
        <x:is>
          <x:t xml:space="preserve">Risk Advisory</x:t>
        </x:is>
      </x:c>
      <x:c r="F241" s="10" t="inlineStr">
        <x:is>
          <x:t xml:space="preserve">Phone</x:t>
        </x:is>
      </x:c>
      <x:c r="G241" s="11" t="inlineStr">
        <x:is>
          <x:t xml:space="preserve">Login &amp; Access</x:t>
        </x:is>
      </x:c>
      <x:c r="H241" s="11" t="inlineStr">
        <x:is>
          <x:t xml:space="preserve">Access denied</x:t>
        </x:is>
      </x:c>
      <x:c r="I241" s="10" t="inlineStr">
        <x:is>
          <x:t xml:space="preserve">High</x:t>
        </x:is>
      </x:c>
      <x:c r="J241" s="10" t="inlineStr">
        <x:is>
          <x:t xml:space="preserve">Resolved</x:t>
        </x:is>
      </x:c>
      <x:c r="K241" s="11" t="inlineStr">
        <x:is>
          <x:t xml:space="preserve">L1 Identity Support</x:t>
        </x:is>
      </x:c>
      <x:c r="L241" s="10" t="inlineStr">
        <x:is>
          <x:t xml:space="preserve">Agent E</x:t>
        </x:is>
      </x:c>
      <x:c r="M241" s="12" t="n">
        <x:v>21</x:v>
      </x:c>
      <x:c r="N241" s="45" t="n">
        <x:v>4</x:v>
      </x:c>
      <x:c r="O241" s="12">
        <x:f>XLOOKUP(I241,SLA_Rules!$A$4:$A$7,SLA_Rules!$B$4:$B$7,"")</x:f>
        <x:v>8</x:v>
      </x:c>
      <x:c r="P241" s="12" t="str">
        <x:f>IF(J241&lt;&gt;"Resolved","Pending",IF(N241&lt;=O241,"Yes","No"))</x:f>
        <x:v>Yes</x:v>
      </x:c>
      <x:c r="Q241" s="10" t="inlineStr">
        <x:is>
          <x:t xml:space="preserve">No</x:t>
        </x:is>
      </x:c>
      <x:c r="R241" s="12" t="n">
        <x:v>5</x:v>
      </x:c>
      <x:c r="S241" s="11" t="inlineStr">
        <x:is>
          <x:t xml:space="preserve">Pending update</x:t>
        </x:is>
      </x:c>
      <x:c r="T241" s="5" t="inlineStr">
        <x:is>
          <x:t xml:space="preserve">Validated identity, restored access path, and confirmed successful login.</x:t>
        </x:is>
      </x:c>
      <x:c r="U241" s="44" t="n">
        <x:v>46099.11388888889</x:v>
      </x:c>
    </x:row>
    <x:row r="242">
      <x:c r="A242" s="8" t="inlineStr">
        <x:is>
          <x:t xml:space="preserve">INC-202603-0241</x:t>
        </x:is>
      </x:c>
      <x:c r="B242" s="44" t="n">
        <x:v>46087.11666666667</x:v>
      </x:c>
      <x:c r="C242" s="10" t="inlineStr">
        <x:is>
          <x:t xml:space="preserve">UK</x:t>
        </x:is>
      </x:c>
      <x:c r="D242" s="8" t="inlineStr">
        <x:is>
          <x:t xml:space="preserve">User 241</x:t>
        </x:is>
      </x:c>
      <x:c r="E242" s="11" t="inlineStr">
        <x:is>
          <x:t xml:space="preserve">Operations</x:t>
        </x:is>
      </x:c>
      <x:c r="F242" s="10" t="inlineStr">
        <x:is>
          <x:t xml:space="preserve">Phone</x:t>
        </x:is>
      </x:c>
      <x:c r="G242" s="11" t="inlineStr">
        <x:is>
          <x:t xml:space="preserve">Login &amp; Access</x:t>
        </x:is>
      </x:c>
      <x:c r="H242" s="11" t="inlineStr">
        <x:is>
          <x:t xml:space="preserve">Shared drive permission</x:t>
        </x:is>
      </x:c>
      <x:c r="I242" s="10" t="inlineStr">
        <x:is>
          <x:t xml:space="preserve">High</x:t>
        </x:is>
      </x:c>
      <x:c r="J242" s="10" t="inlineStr">
        <x:is>
          <x:t xml:space="preserve">Resolved</x:t>
        </x:is>
      </x:c>
      <x:c r="K242" s="11" t="inlineStr">
        <x:is>
          <x:t xml:space="preserve">L1 Identity Support</x:t>
        </x:is>
      </x:c>
      <x:c r="L242" s="10" t="inlineStr">
        <x:is>
          <x:t xml:space="preserve">Agent G</x:t>
        </x:is>
      </x:c>
      <x:c r="M242" s="12" t="n">
        <x:v>23</x:v>
      </x:c>
      <x:c r="N242" s="45" t="n">
        <x:v>2.7</x:v>
      </x:c>
      <x:c r="O242" s="12">
        <x:f>XLOOKUP(I242,SLA_Rules!$A$4:$A$7,SLA_Rules!$B$4:$B$7,"")</x:f>
        <x:v>8</x:v>
      </x:c>
      <x:c r="P242" s="12" t="str">
        <x:f>IF(J242&lt;&gt;"Resolved","Pending",IF(N242&lt;=O242,"Yes","No"))</x:f>
        <x:v>Yes</x:v>
      </x:c>
      <x:c r="Q242" s="10" t="inlineStr">
        <x:is>
          <x:t xml:space="preserve">No</x:t>
        </x:is>
      </x:c>
      <x:c r="R242" s="12" t="n">
        <x:v>3</x:v>
      </x:c>
      <x:c r="S242" s="11" t="inlineStr">
        <x:is>
          <x:t xml:space="preserve">Pending update</x:t>
        </x:is>
      </x:c>
      <x:c r="T242" s="5" t="inlineStr">
        <x:is>
          <x:t xml:space="preserve">Validated identity, restored access path, and confirmed successful login.</x:t>
        </x:is>
      </x:c>
      <x:c r="U242" s="44" t="n">
        <x:v>46087.22916666666</x:v>
      </x:c>
    </x:row>
    <x:row r="243">
      <x:c r="A243" s="8" t="inlineStr">
        <x:is>
          <x:t xml:space="preserve">INC-202603-0242</x:t>
        </x:is>
      </x:c>
      <x:c r="B243" s="44" t="n">
        <x:v>46085.65763888889</x:v>
      </x:c>
      <x:c r="C243" s="10" t="inlineStr">
        <x:is>
          <x:t xml:space="preserve">APAC</x:t>
        </x:is>
      </x:c>
      <x:c r="D243" s="8" t="inlineStr">
        <x:is>
          <x:t xml:space="preserve">User 242</x:t>
        </x:is>
      </x:c>
      <x:c r="E243" s="11" t="inlineStr">
        <x:is>
          <x:t xml:space="preserve">Operations</x:t>
        </x:is>
      </x:c>
      <x:c r="F243" s="10" t="inlineStr">
        <x:is>
          <x:t xml:space="preserve">Email</x:t>
        </x:is>
      </x:c>
      <x:c r="G243" s="11" t="inlineStr">
        <x:is>
          <x:t xml:space="preserve">Network &amp; VPN</x:t>
        </x:is>
      </x:c>
      <x:c r="H243" s="11" t="inlineStr">
        <x:is>
          <x:t xml:space="preserve">Wi-Fi unstable</x:t>
        </x:is>
      </x:c>
      <x:c r="I243" s="10" t="inlineStr">
        <x:is>
          <x:t xml:space="preserve">High</x:t>
        </x:is>
      </x:c>
      <x:c r="J243" s="10" t="inlineStr">
        <x:is>
          <x:t xml:space="preserve">Resolved</x:t>
        </x:is>
      </x:c>
      <x:c r="K243" s="11" t="inlineStr">
        <x:is>
          <x:t xml:space="preserve">L1 Endpoint Support</x:t>
        </x:is>
      </x:c>
      <x:c r="L243" s="10" t="inlineStr">
        <x:is>
          <x:t xml:space="preserve">Agent C</x:t>
        </x:is>
      </x:c>
      <x:c r="M243" s="12" t="n">
        <x:v>32</x:v>
      </x:c>
      <x:c r="N243" s="45" t="n">
        <x:v>1.9</x:v>
      </x:c>
      <x:c r="O243" s="12">
        <x:f>XLOOKUP(I243,SLA_Rules!$A$4:$A$7,SLA_Rules!$B$4:$B$7,"")</x:f>
        <x:v>8</x:v>
      </x:c>
      <x:c r="P243" s="12" t="str">
        <x:f>IF(J243&lt;&gt;"Resolved","Pending",IF(N243&lt;=O243,"Yes","No"))</x:f>
        <x:v>Yes</x:v>
      </x:c>
      <x:c r="Q243" s="10" t="inlineStr">
        <x:is>
          <x:t xml:space="preserve">No</x:t>
        </x:is>
      </x:c>
      <x:c r="R243" s="12" t="n">
        <x:v>3</x:v>
      </x:c>
      <x:c r="S243" s="11" t="inlineStr">
        <x:is>
          <x:t xml:space="preserve">Credential issue</x:t>
        </x:is>
      </x:c>
      <x:c r="T243" s="5" t="inlineStr">
        <x:is>
          <x:t xml:space="preserve">Checked connectivity path, reconfigured VPN settings, and confirmed stable access.</x:t>
        </x:is>
      </x:c>
      <x:c r="U243" s="44" t="n">
        <x:v>46085.73680555556</x:v>
      </x:c>
    </x:row>
    <x:row r="244">
      <x:c r="A244" s="8" t="inlineStr">
        <x:is>
          <x:t xml:space="preserve">INC-202603-0243</x:t>
        </x:is>
      </x:c>
      <x:c r="B244" s="44" t="n">
        <x:v>46108.07777777778</x:v>
      </x:c>
      <x:c r="C244" s="10" t="inlineStr">
        <x:is>
          <x:t xml:space="preserve">US</x:t>
        </x:is>
      </x:c>
      <x:c r="D244" s="8" t="inlineStr">
        <x:is>
          <x:t xml:space="preserve">User 243</x:t>
        </x:is>
      </x:c>
      <x:c r="E244" s="11" t="inlineStr">
        <x:is>
          <x:t xml:space="preserve">Operations</x:t>
        </x:is>
      </x:c>
      <x:c r="F244" s="10" t="inlineStr">
        <x:is>
          <x:t xml:space="preserve">Chat</x:t>
        </x:is>
      </x:c>
      <x:c r="G244" s="11" t="inlineStr">
        <x:is>
          <x:t xml:space="preserve">Hardware</x:t>
        </x:is>
      </x:c>
      <x:c r="H244" s="11" t="inlineStr">
        <x:is>
          <x:t xml:space="preserve">Blue screen</x:t>
        </x:is>
      </x:c>
      <x:c r="I244" s="10" t="inlineStr">
        <x:is>
          <x:t xml:space="preserve">Low</x:t>
        </x:is>
      </x:c>
      <x:c r="J244" s="10" t="inlineStr">
        <x:is>
          <x:t xml:space="preserve">Open</x:t>
        </x:is>
      </x:c>
      <x:c r="K244" s="11" t="inlineStr">
        <x:is>
          <x:t xml:space="preserve">L1 Messaging Support</x:t>
        </x:is>
      </x:c>
      <x:c r="L244" s="10" t="inlineStr">
        <x:is>
          <x:t xml:space="preserve">Agent C</x:t>
        </x:is>
      </x:c>
      <x:c r="M244" s="12" t="n">
        <x:v>93</x:v>
      </x:c>
      <x:c r="N244" s="12" t="n"/>
      <x:c r="O244" s="12">
        <x:f>XLOOKUP(I244,SLA_Rules!$A$4:$A$7,SLA_Rules!$B$4:$B$7,"")</x:f>
        <x:v>24</x:v>
      </x:c>
      <x:c r="P244" s="12" t="str">
        <x:f>IF(J244&lt;&gt;"Resolved","Pending",IF(N244&lt;=O244,"Yes","No"))</x:f>
        <x:v>Pending</x:v>
      </x:c>
      <x:c r="Q244" s="10" t="inlineStr">
        <x:is>
          <x:t xml:space="preserve">No</x:t>
        </x:is>
      </x:c>
      <x:c r="R244" s="12" t="n"/>
      <x:c r="S244" s="11" t="inlineStr">
        <x:is>
          <x:t xml:space="preserve">Application cache</x:t>
        </x:is>
      </x:c>
      <x:c r="T244" s="5" t="inlineStr">
        <x:is>
          <x:t xml:space="preserve">Ran endpoint checks and provided workaround or hardware escalation as needed.</x:t>
        </x:is>
      </x:c>
      <x:c r="U244" s="8" t="n"/>
    </x:row>
    <x:row r="245">
      <x:c r="A245" s="8" t="inlineStr">
        <x:is>
          <x:t xml:space="preserve">INC-202603-0244</x:t>
        </x:is>
      </x:c>
      <x:c r="B245" s="44" t="n">
        <x:v>46103.29166666666</x:v>
      </x:c>
      <x:c r="C245" s="10" t="inlineStr">
        <x:is>
          <x:t xml:space="preserve">UK</x:t>
        </x:is>
      </x:c>
      <x:c r="D245" s="8" t="inlineStr">
        <x:is>
          <x:t xml:space="preserve">User 244</x:t>
        </x:is>
      </x:c>
      <x:c r="E245" s="11" t="inlineStr">
        <x:is>
          <x:t xml:space="preserve">Tax</x:t>
        </x:is>
      </x:c>
      <x:c r="F245" s="10" t="inlineStr">
        <x:is>
          <x:t xml:space="preserve">Chat</x:t>
        </x:is>
      </x:c>
      <x:c r="G245" s="11" t="inlineStr">
        <x:is>
          <x:t xml:space="preserve">Software &amp; Application</x:t>
        </x:is>
      </x:c>
      <x:c r="H245" s="11" t="inlineStr">
        <x:is>
          <x:t xml:space="preserve">Update failure</x:t>
        </x:is>
      </x:c>
      <x:c r="I245" s="10" t="inlineStr">
        <x:is>
          <x:t xml:space="preserve">Low</x:t>
        </x:is>
      </x:c>
      <x:c r="J245" s="10" t="inlineStr">
        <x:is>
          <x:t xml:space="preserve">Resolved</x:t>
        </x:is>
      </x:c>
      <x:c r="K245" s="11" t="inlineStr">
        <x:is>
          <x:t xml:space="preserve">L1 Global Service Desk</x:t>
        </x:is>
      </x:c>
      <x:c r="L245" s="10" t="inlineStr">
        <x:is>
          <x:t xml:space="preserve">Agent G</x:t>
        </x:is>
      </x:c>
      <x:c r="M245" s="12" t="n">
        <x:v>98</x:v>
      </x:c>
      <x:c r="N245" s="45" t="n">
        <x:v>19.5</x:v>
      </x:c>
      <x:c r="O245" s="12">
        <x:f>XLOOKUP(I245,SLA_Rules!$A$4:$A$7,SLA_Rules!$B$4:$B$7,"")</x:f>
        <x:v>24</x:v>
      </x:c>
      <x:c r="P245" s="12" t="str">
        <x:f>IF(J245&lt;&gt;"Resolved","Pending",IF(N245&lt;=O245,"Yes","No"))</x:f>
        <x:v>Yes</x:v>
      </x:c>
      <x:c r="Q245" s="10" t="inlineStr">
        <x:is>
          <x:t xml:space="preserve">No</x:t>
        </x:is>
      </x:c>
      <x:c r="R245" s="12" t="n">
        <x:v>5</x:v>
      </x:c>
      <x:c r="S245" s="11" t="inlineStr">
        <x:is>
          <x:t xml:space="preserve">Application cache</x:t>
        </x:is>
      </x:c>
      <x:c r="T245" s="5" t="inlineStr">
        <x:is>
          <x:t xml:space="preserve">Validated installation/configuration and completed application repair steps.</x:t>
        </x:is>
      </x:c>
      <x:c r="U245" s="44" t="n">
        <x:v>46104.10416666666</x:v>
      </x:c>
    </x:row>
    <x:row r="246">
      <x:c r="A246" s="8" t="inlineStr">
        <x:is>
          <x:t xml:space="preserve">INC-202603-0245</x:t>
        </x:is>
      </x:c>
      <x:c r="B246" s="44" t="n">
        <x:v>46101.25833333333</x:v>
      </x:c>
      <x:c r="C246" s="10" t="inlineStr">
        <x:is>
          <x:t xml:space="preserve">APAC</x:t>
        </x:is>
      </x:c>
      <x:c r="D246" s="8" t="inlineStr">
        <x:is>
          <x:t xml:space="preserve">User 245</x:t>
        </x:is>
      </x:c>
      <x:c r="E246" s="11" t="inlineStr">
        <x:is>
          <x:t xml:space="preserve">HR</x:t>
        </x:is>
      </x:c>
      <x:c r="F246" s="10" t="inlineStr">
        <x:is>
          <x:t xml:space="preserve">Chat</x:t>
        </x:is>
      </x:c>
      <x:c r="G246" s="11" t="inlineStr">
        <x:is>
          <x:t xml:space="preserve">Software &amp; Application</x:t>
        </x:is>
      </x:c>
      <x:c r="H246" s="11" t="inlineStr">
        <x:is>
          <x:t xml:space="preserve">App crash</x:t>
        </x:is>
      </x:c>
      <x:c r="I246" s="10" t="inlineStr">
        <x:is>
          <x:t xml:space="preserve">Medium</x:t>
        </x:is>
      </x:c>
      <x:c r="J246" s="10" t="inlineStr">
        <x:is>
          <x:t xml:space="preserve">Resolved</x:t>
        </x:is>
      </x:c>
      <x:c r="K246" s="11" t="inlineStr">
        <x:is>
          <x:t xml:space="preserve">L1 Global Service Desk</x:t>
        </x:is>
      </x:c>
      <x:c r="L246" s="10" t="inlineStr">
        <x:is>
          <x:t xml:space="preserve">Agent C</x:t>
        </x:is>
      </x:c>
      <x:c r="M246" s="12" t="n">
        <x:v>39</x:v>
      </x:c>
      <x:c r="N246" s="45" t="n">
        <x:v>13.3</x:v>
      </x:c>
      <x:c r="O246" s="12">
        <x:f>XLOOKUP(I246,SLA_Rules!$A$4:$A$7,SLA_Rules!$B$4:$B$7,"")</x:f>
        <x:v>16</x:v>
      </x:c>
      <x:c r="P246" s="12" t="str">
        <x:f>IF(J246&lt;&gt;"Resolved","Pending",IF(N246&lt;=O246,"Yes","No"))</x:f>
        <x:v>Yes</x:v>
      </x:c>
      <x:c r="Q246" s="10" t="inlineStr">
        <x:is>
          <x:t xml:space="preserve">No</x:t>
        </x:is>
      </x:c>
      <x:c r="R246" s="12" t="n">
        <x:v>5</x:v>
      </x:c>
      <x:c r="S246" s="11" t="inlineStr">
        <x:is>
          <x:t xml:space="preserve">Network instability</x:t>
        </x:is>
      </x:c>
      <x:c r="T246" s="5" t="inlineStr">
        <x:is>
          <x:t xml:space="preserve">Validated installation/configuration and completed application repair steps.</x:t>
        </x:is>
      </x:c>
      <x:c r="U246" s="44" t="n">
        <x:v>46101.8125</x:v>
      </x:c>
    </x:row>
    <x:row r="247">
      <x:c r="A247" s="8" t="inlineStr">
        <x:is>
          <x:t xml:space="preserve">INC-202603-0246</x:t>
        </x:is>
      </x:c>
      <x:c r="B247" s="44" t="n">
        <x:v>46103.77222222222</x:v>
      </x:c>
      <x:c r="C247" s="10" t="inlineStr">
        <x:is>
          <x:t xml:space="preserve">UK</x:t>
        </x:is>
      </x:c>
      <x:c r="D247" s="8" t="inlineStr">
        <x:is>
          <x:t xml:space="preserve">User 246</x:t>
        </x:is>
      </x:c>
      <x:c r="E247" s="11" t="inlineStr">
        <x:is>
          <x:t xml:space="preserve">Tax</x:t>
        </x:is>
      </x:c>
      <x:c r="F247" s="10" t="inlineStr">
        <x:is>
          <x:t xml:space="preserve">Chat</x:t>
        </x:is>
      </x:c>
      <x:c r="G247" s="11" t="inlineStr">
        <x:is>
          <x:t xml:space="preserve">Software &amp; Application</x:t>
        </x:is>
      </x:c>
      <x:c r="H247" s="11" t="inlineStr">
        <x:is>
          <x:t xml:space="preserve">App crash</x:t>
        </x:is>
      </x:c>
      <x:c r="I247" s="10" t="inlineStr">
        <x:is>
          <x:t xml:space="preserve">Medium</x:t>
        </x:is>
      </x:c>
      <x:c r="J247" s="10" t="inlineStr">
        <x:is>
          <x:t xml:space="preserve">Resolved</x:t>
        </x:is>
      </x:c>
      <x:c r="K247" s="11" t="inlineStr">
        <x:is>
          <x:t xml:space="preserve">L1 Endpoint Support</x:t>
        </x:is>
      </x:c>
      <x:c r="L247" s="10" t="inlineStr">
        <x:is>
          <x:t xml:space="preserve">Agent D</x:t>
        </x:is>
      </x:c>
      <x:c r="M247" s="12" t="n">
        <x:v>18</x:v>
      </x:c>
      <x:c r="N247" s="45" t="n">
        <x:v>8.800000000000001</x:v>
      </x:c>
      <x:c r="O247" s="12">
        <x:f>XLOOKUP(I247,SLA_Rules!$A$4:$A$7,SLA_Rules!$B$4:$B$7,"")</x:f>
        <x:v>16</x:v>
      </x:c>
      <x:c r="P247" s="12" t="str">
        <x:f>IF(J247&lt;&gt;"Resolved","Pending",IF(N247&lt;=O247,"Yes","No"))</x:f>
        <x:v>Yes</x:v>
      </x:c>
      <x:c r="Q247" s="10" t="inlineStr">
        <x:is>
          <x:t xml:space="preserve">No</x:t>
        </x:is>
      </x:c>
      <x:c r="R247" s="12" t="n">
        <x:v>5</x:v>
      </x:c>
      <x:c r="S247" s="11" t="inlineStr">
        <x:is>
          <x:t xml:space="preserve">Pending update</x:t>
        </x:is>
      </x:c>
      <x:c r="T247" s="5" t="inlineStr">
        <x:is>
          <x:t xml:space="preserve">Validated installation/configuration and completed application repair steps.</x:t>
        </x:is>
      </x:c>
      <x:c r="U247" s="44" t="n">
        <x:v>46104.13888888889</x:v>
      </x:c>
    </x:row>
    <x:row r="248">
      <x:c r="A248" s="8" t="inlineStr">
        <x:is>
          <x:t xml:space="preserve">INC-202603-0247</x:t>
        </x:is>
      </x:c>
      <x:c r="B248" s="44" t="n">
        <x:v>46094.90138888889</x:v>
      </x:c>
      <x:c r="C248" s="10" t="inlineStr">
        <x:is>
          <x:t xml:space="preserve">APAC</x:t>
        </x:is>
      </x:c>
      <x:c r="D248" s="8" t="inlineStr">
        <x:is>
          <x:t xml:space="preserve">User 247</x:t>
        </x:is>
      </x:c>
      <x:c r="E248" s="11" t="inlineStr">
        <x:is>
          <x:t xml:space="preserve">Consulting</x:t>
        </x:is>
      </x:c>
      <x:c r="F248" s="10" t="inlineStr">
        <x:is>
          <x:t xml:space="preserve">Chat</x:t>
        </x:is>
      </x:c>
      <x:c r="G248" s="11" t="inlineStr">
        <x:is>
          <x:t xml:space="preserve">Hardware</x:t>
        </x:is>
      </x:c>
      <x:c r="H248" s="11" t="inlineStr">
        <x:is>
          <x:t xml:space="preserve">Docking station issue</x:t>
        </x:is>
      </x:c>
      <x:c r="I248" s="10" t="inlineStr">
        <x:is>
          <x:t xml:space="preserve">High</x:t>
        </x:is>
      </x:c>
      <x:c r="J248" s="10" t="inlineStr">
        <x:is>
          <x:t xml:space="preserve">In Progress</x:t>
        </x:is>
      </x:c>
      <x:c r="K248" s="11" t="inlineStr">
        <x:is>
          <x:t xml:space="preserve">L1 Identity Support</x:t>
        </x:is>
      </x:c>
      <x:c r="L248" s="10" t="inlineStr">
        <x:is>
          <x:t xml:space="preserve">Agent A</x:t>
        </x:is>
      </x:c>
      <x:c r="M248" s="12" t="n">
        <x:v>47</x:v>
      </x:c>
      <x:c r="N248" s="12" t="n"/>
      <x:c r="O248" s="12">
        <x:f>XLOOKUP(I248,SLA_Rules!$A$4:$A$7,SLA_Rules!$B$4:$B$7,"")</x:f>
        <x:v>8</x:v>
      </x:c>
      <x:c r="P248" s="12" t="str">
        <x:f>IF(J248&lt;&gt;"Resolved","Pending",IF(N248&lt;=O248,"Yes","No"))</x:f>
        <x:v>Pending</x:v>
      </x:c>
      <x:c r="Q248" s="10" t="inlineStr">
        <x:is>
          <x:t xml:space="preserve">No</x:t>
        </x:is>
      </x:c>
      <x:c r="R248" s="12" t="n"/>
      <x:c r="S248" s="11" t="inlineStr">
        <x:is>
          <x:t xml:space="preserve">Pending update</x:t>
        </x:is>
      </x:c>
      <x:c r="T248" s="5" t="inlineStr">
        <x:is>
          <x:t xml:space="preserve">Ran endpoint checks and provided workaround or hardware escalation as needed.</x:t>
        </x:is>
      </x:c>
      <x:c r="U248" s="8" t="n"/>
    </x:row>
    <x:row r="249">
      <x:c r="A249" s="8" t="inlineStr">
        <x:is>
          <x:t xml:space="preserve">INC-202603-0248</x:t>
        </x:is>
      </x:c>
      <x:c r="B249" s="44" t="n">
        <x:v>46095.82222222222</x:v>
      </x:c>
      <x:c r="C249" s="10" t="inlineStr">
        <x:is>
          <x:t xml:space="preserve">APAC</x:t>
        </x:is>
      </x:c>
      <x:c r="D249" s="8" t="inlineStr">
        <x:is>
          <x:t xml:space="preserve">User 248</x:t>
        </x:is>
      </x:c>
      <x:c r="E249" s="11" t="inlineStr">
        <x:is>
          <x:t xml:space="preserve">Operations</x:t>
        </x:is>
      </x:c>
      <x:c r="F249" s="10" t="inlineStr">
        <x:is>
          <x:t xml:space="preserve">Web Ticket</x:t>
        </x:is>
      </x:c>
      <x:c r="G249" s="11" t="inlineStr">
        <x:is>
          <x:t xml:space="preserve">Network &amp; VPN</x:t>
        </x:is>
      </x:c>
      <x:c r="H249" s="11" t="inlineStr">
        <x:is>
          <x:t xml:space="preserve">Remote desktop timeout</x:t>
        </x:is>
      </x:c>
      <x:c r="I249" s="10" t="inlineStr">
        <x:is>
          <x:t xml:space="preserve">Medium</x:t>
        </x:is>
      </x:c>
      <x:c r="J249" s="10" t="inlineStr">
        <x:is>
          <x:t xml:space="preserve">Resolved</x:t>
        </x:is>
      </x:c>
      <x:c r="K249" s="11" t="inlineStr">
        <x:is>
          <x:t xml:space="preserve">L1 Identity Support</x:t>
        </x:is>
      </x:c>
      <x:c r="L249" s="10" t="inlineStr">
        <x:is>
          <x:t xml:space="preserve">Agent B</x:t>
        </x:is>
      </x:c>
      <x:c r="M249" s="12" t="n">
        <x:v>52</x:v>
      </x:c>
      <x:c r="N249" s="45" t="n">
        <x:v>19.2</x:v>
      </x:c>
      <x:c r="O249" s="12">
        <x:f>XLOOKUP(I249,SLA_Rules!$A$4:$A$7,SLA_Rules!$B$4:$B$7,"")</x:f>
        <x:v>16</x:v>
      </x:c>
      <x:c r="P249" s="12" t="str">
        <x:f>IF(J249&lt;&gt;"Resolved","Pending",IF(N249&lt;=O249,"Yes","No"))</x:f>
        <x:v>No</x:v>
      </x:c>
      <x:c r="Q249" s="10" t="inlineStr">
        <x:is>
          <x:t xml:space="preserve">Yes</x:t>
        </x:is>
      </x:c>
      <x:c r="R249" s="12" t="n">
        <x:v>4</x:v>
      </x:c>
      <x:c r="S249" s="11" t="inlineStr">
        <x:is>
          <x:t xml:space="preserve">Driver problem</x:t>
        </x:is>
      </x:c>
      <x:c r="T249" s="5" t="inlineStr">
        <x:is>
          <x:t xml:space="preserve">Checked connectivity path, reconfigured VPN settings, and confirmed stable access.</x:t>
        </x:is>
      </x:c>
      <x:c r="U249" s="44" t="n">
        <x:v>46096.62222222222</x:v>
      </x:c>
    </x:row>
    <x:row r="250">
      <x:c r="A250" s="8" t="inlineStr">
        <x:is>
          <x:t xml:space="preserve">INC-202603-0249</x:t>
        </x:is>
      </x:c>
      <x:c r="B250" s="44" t="n">
        <x:v>46099.94444444445</x:v>
      </x:c>
      <x:c r="C250" s="10" t="inlineStr">
        <x:is>
          <x:t xml:space="preserve">India</x:t>
        </x:is>
      </x:c>
      <x:c r="D250" s="8" t="inlineStr">
        <x:is>
          <x:t xml:space="preserve">User 249</x:t>
        </x:is>
      </x:c>
      <x:c r="E250" s="11" t="inlineStr">
        <x:is>
          <x:t xml:space="preserve">Consulting</x:t>
        </x:is>
      </x:c>
      <x:c r="F250" s="10" t="inlineStr">
        <x:is>
          <x:t xml:space="preserve">Phone</x:t>
        </x:is>
      </x:c>
      <x:c r="G250" s="11" t="inlineStr">
        <x:is>
          <x:t xml:space="preserve">Software &amp; Application</x:t>
        </x:is>
      </x:c>
      <x:c r="H250" s="11" t="inlineStr">
        <x:is>
          <x:t xml:space="preserve">Install failed</x:t>
        </x:is>
      </x:c>
      <x:c r="I250" s="10" t="inlineStr">
        <x:is>
          <x:t xml:space="preserve">Medium</x:t>
        </x:is>
      </x:c>
      <x:c r="J250" s="10" t="inlineStr">
        <x:is>
          <x:t xml:space="preserve">Resolved</x:t>
        </x:is>
      </x:c>
      <x:c r="K250" s="11" t="inlineStr">
        <x:is>
          <x:t xml:space="preserve">L1 Identity Support</x:t>
        </x:is>
      </x:c>
      <x:c r="L250" s="10" t="inlineStr">
        <x:is>
          <x:t xml:space="preserve">Agent E</x:t>
        </x:is>
      </x:c>
      <x:c r="M250" s="12" t="n">
        <x:v>57</x:v>
      </x:c>
      <x:c r="N250" s="45" t="n">
        <x:v>3.9</x:v>
      </x:c>
      <x:c r="O250" s="12">
        <x:f>XLOOKUP(I250,SLA_Rules!$A$4:$A$7,SLA_Rules!$B$4:$B$7,"")</x:f>
        <x:v>16</x:v>
      </x:c>
      <x:c r="P250" s="12" t="str">
        <x:f>IF(J250&lt;&gt;"Resolved","Pending",IF(N250&lt;=O250,"Yes","No"))</x:f>
        <x:v>Yes</x:v>
      </x:c>
      <x:c r="Q250" s="10" t="inlineStr">
        <x:is>
          <x:t xml:space="preserve">No</x:t>
        </x:is>
      </x:c>
      <x:c r="R250" s="12" t="n">
        <x:v>5</x:v>
      </x:c>
      <x:c r="S250" s="11" t="inlineStr">
        <x:is>
          <x:t xml:space="preserve">Policy enforcement</x:t>
        </x:is>
      </x:c>
      <x:c r="T250" s="5" t="inlineStr">
        <x:is>
          <x:t xml:space="preserve">Validated installation/configuration and completed application repair steps.</x:t>
        </x:is>
      </x:c>
      <x:c r="U250" s="44" t="n">
        <x:v>46100.10694444444</x:v>
      </x:c>
    </x:row>
    <x:row r="251">
      <x:c r="A251" s="8" t="inlineStr">
        <x:is>
          <x:t xml:space="preserve">INC-202603-0250</x:t>
        </x:is>
      </x:c>
      <x:c r="B251" s="44" t="n">
        <x:v>46086.07083333333</x:v>
      </x:c>
      <x:c r="C251" s="10" t="inlineStr">
        <x:is>
          <x:t xml:space="preserve">APAC</x:t>
        </x:is>
      </x:c>
      <x:c r="D251" s="8" t="inlineStr">
        <x:is>
          <x:t xml:space="preserve">User 250</x:t>
        </x:is>
      </x:c>
      <x:c r="E251" s="11" t="inlineStr">
        <x:is>
          <x:t xml:space="preserve">Tax</x:t>
        </x:is>
      </x:c>
      <x:c r="F251" s="10" t="inlineStr">
        <x:is>
          <x:t xml:space="preserve">Chat</x:t>
        </x:is>
      </x:c>
      <x:c r="G251" s="11" t="inlineStr">
        <x:is>
          <x:t xml:space="preserve">Software &amp; Application</x:t>
        </x:is>
      </x:c>
      <x:c r="H251" s="11" t="inlineStr">
        <x:is>
          <x:t xml:space="preserve">Plugin error</x:t>
        </x:is>
      </x:c>
      <x:c r="I251" s="10" t="inlineStr">
        <x:is>
          <x:t xml:space="preserve">Low</x:t>
        </x:is>
      </x:c>
      <x:c r="J251" s="10" t="inlineStr">
        <x:is>
          <x:t xml:space="preserve">Resolved</x:t>
        </x:is>
      </x:c>
      <x:c r="K251" s="11" t="inlineStr">
        <x:is>
          <x:t xml:space="preserve">L1 Global Service Desk</x:t>
        </x:is>
      </x:c>
      <x:c r="L251" s="10" t="inlineStr">
        <x:is>
          <x:t xml:space="preserve">Agent D</x:t>
        </x:is>
      </x:c>
      <x:c r="M251" s="12" t="n">
        <x:v>65</x:v>
      </x:c>
      <x:c r="N251" s="45" t="n">
        <x:v>8.699999999999999</x:v>
      </x:c>
      <x:c r="O251" s="12">
        <x:f>XLOOKUP(I251,SLA_Rules!$A$4:$A$7,SLA_Rules!$B$4:$B$7,"")</x:f>
        <x:v>24</x:v>
      </x:c>
      <x:c r="P251" s="12" t="str">
        <x:f>IF(J251&lt;&gt;"Resolved","Pending",IF(N251&lt;=O251,"Yes","No"))</x:f>
        <x:v>Yes</x:v>
      </x:c>
      <x:c r="Q251" s="10" t="inlineStr">
        <x:is>
          <x:t xml:space="preserve">No</x:t>
        </x:is>
      </x:c>
      <x:c r="R251" s="12" t="n">
        <x:v>5</x:v>
      </x:c>
      <x:c r="S251" s="11" t="inlineStr">
        <x:is>
          <x:t xml:space="preserve">Expired password</x:t>
        </x:is>
      </x:c>
      <x:c r="T251" s="5" t="inlineStr">
        <x:is>
          <x:t xml:space="preserve">Validated installation/configuration and completed application repair steps.</x:t>
        </x:is>
      </x:c>
      <x:c r="U251" s="44" t="n">
        <x:v>46086.43333333333</x:v>
      </x:c>
    </x:row>
  </x:sheetData>
  <x:conditionalFormatting sqref="P2:P251">
    <x:cfRule type="expression" dxfId="0" priority="1">
      <x:formula>P2="Yes"</x:formula>
    </x:cfRule>
    <x:cfRule type="expression" dxfId="1" priority="2">
      <x:formula>P2="No"</x:formula>
    </x:cfRule>
    <x:cfRule type="expression" dxfId="2" priority="3">
      <x:formula>P2="Pending"</x:formula>
    </x:cfRule>
  </x:conditionalFormatting>
  <x:conditionalFormatting sqref="Q2:Q251">
    <x:cfRule type="expression" dxfId="2" priority="4">
      <x:formula>Q2="Yes"</x:formula>
    </x:cfRule>
  </x:conditionalFormatting>
  <x:pageMargins left="0.7" right="0.7" top="0.75" bottom="0.75" header="0.3" footer="0.3"/>
  <x:legacyDrawing xmlns:r="http://schemas.openxmlformats.org/officeDocument/2006/relationships" r:id="Rc863281737004787"/>
  <x:tableParts count="1">
    <x:tablePart xmlns:r="http://schemas.openxmlformats.org/officeDocument/2006/relationships" r:id="R9b22777681d343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6" customWidth="1"/>
    <x:col min="3" max="3" width="16" customWidth="1"/>
    <x:col min="4" max="4" width="3" customWidth="1"/>
    <x:col min="5" max="5" width="14" customWidth="1"/>
    <x:col min="6" max="6" width="14" customWidth="1"/>
    <x:col min="7" max="7" width="14" customWidth="1"/>
    <x:col min="8" max="8" width="3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3" customWidth="1"/>
    <x:col min="14" max="14" width="15" customWidth="1"/>
    <x:col min="15" max="15" width="15" customWidth="1"/>
    <x:col min="16" max="16" width="15" customWidth="1"/>
    <x:col min="17" max="17" width="15" customWidth="1"/>
  </x:cols>
  <x:sheetData>
    <x:row r="1">
      <x:c r="A1" s="63" t="inlineStr">
        <x:is>
          <x:t xml:space="preserve">IT Helpdesk Ticketing &amp; Incident Management Dashboard</x:t>
        </x:is>
      </x:c>
      <x:c r="B1" s="46" t="n"/>
      <x:c r="C1" s="46" t="n"/>
      <x:c r="D1" s="46" t="n"/>
      <x:c r="E1" s="46" t="n"/>
      <x:c r="F1" s="46" t="n"/>
      <x:c r="G1" s="46" t="n"/>
      <x:c r="H1" s="46" t="n"/>
      <x:c r="I1" s="46" t="n"/>
      <x:c r="J1" s="46" t="n"/>
      <x:c r="K1" s="46" t="n"/>
      <x:c r="L1" s="46" t="n"/>
      <x:c r="M1" s="46" t="n"/>
      <x:c r="N1" s="46" t="n"/>
      <x:c r="O1" s="46" t="n"/>
      <x:c r="P1" s="46" t="n"/>
      <x:c r="Q1" s="47" t="n"/>
    </x:row>
    <x:row r="2">
      <x:c r="A2" s="64" t="inlineStr">
        <x:is>
          <x:t xml:space="preserve">Portfolio project aligned for entry-level IT Support / Service Desk roles</x:t>
        </x:is>
      </x:c>
      <x:c r="B2" s="46" t="n"/>
      <x:c r="C2" s="46" t="n"/>
      <x:c r="D2" s="46" t="n"/>
      <x:c r="E2" s="46" t="n"/>
      <x:c r="F2" s="46" t="n"/>
      <x:c r="G2" s="46" t="n"/>
      <x:c r="H2" s="46" t="n"/>
      <x:c r="I2" s="46" t="n"/>
      <x:c r="J2" s="46" t="n"/>
      <x:c r="K2" s="46" t="n"/>
      <x:c r="L2" s="46" t="n"/>
      <x:c r="M2" s="46" t="n"/>
      <x:c r="N2" s="46" t="n"/>
      <x:c r="O2" s="46" t="n"/>
      <x:c r="P2" s="46" t="n"/>
      <x:c r="Q2" s="47" t="n"/>
    </x:row>
    <x:row r="4">
      <x:c r="A4" s="65" t="inlineStr">
        <x:is>
          <x:t xml:space="preserve">Total Tickets</x:t>
        </x:is>
      </x:c>
      <x:c r="B4" s="46" t="n"/>
      <x:c r="C4" s="47" t="n"/>
      <x:c r="D4" s="16" t="n"/>
      <x:c r="E4" s="66" t="inlineStr">
        <x:is>
          <x:t xml:space="preserve">Resolved %</x:t>
        </x:is>
      </x:c>
      <x:c r="F4" s="46" t="n"/>
      <x:c r="G4" s="47" t="n"/>
      <x:c r="H4" s="16" t="n"/>
      <x:c r="I4" s="67" t="inlineStr">
        <x:is>
          <x:t xml:space="preserve">Escalation %</x:t>
        </x:is>
      </x:c>
      <x:c r="J4" s="46" t="n"/>
      <x:c r="K4" s="47" t="n"/>
      <x:c r="L4" s="68" t="inlineStr">
        <x:is>
          <x:t xml:space="preserve">Avg Resolution Hrs</x:t>
        </x:is>
      </x:c>
      <x:c r="M4" s="65" t="inlineStr">
        <x:is>
          <x:t xml:space="preserve">SLA Compliance</x:t>
        </x:is>
      </x:c>
      <x:c r="N4" s="46" t="n"/>
      <x:c r="O4" s="47" t="n"/>
      <x:c r="P4" s="66" t="inlineStr">
        <x:is>
          <x:t xml:space="preserve">Avg CSAT</x:t>
        </x:is>
      </x:c>
      <x:c r="Q4" s="47" t="n"/>
    </x:row>
    <x:row r="5">
      <x:c r="A5" s="69">
        <x:f>COUNTA(Tickets!$A$2:$A$251)</x:f>
        <x:v>250</x:v>
      </x:c>
      <x:c r="B5" s="48" t="n"/>
      <x:c r="C5" s="49" t="n"/>
      <x:c r="D5" s="16" t="n"/>
      <x:c r="E5" s="70">
        <x:f>COUNTIF(Tickets!$J$2:$J$251,"Resolved")/COUNTA(Tickets!$A$2:$A$251)</x:f>
        <x:v>0.84</x:v>
      </x:c>
      <x:c r="F5" s="48" t="n"/>
      <x:c r="G5" s="49" t="n"/>
      <x:c r="H5" s="16" t="n"/>
      <x:c r="I5" s="71">
        <x:f>COUNTIF(Tickets!$Q$2:$Q$251,"Yes")/COUNTA(Tickets!$A$2:$A$251)</x:f>
        <x:v>0.18</x:v>
      </x:c>
      <x:c r="J5" s="48" t="n"/>
      <x:c r="K5" s="49" t="n"/>
      <x:c r="L5" s="72">
        <x:f>AVERAGEIF(Tickets!$N$2:$N$251,"&gt;0")</x:f>
        <x:v>10.946190476190477</x:v>
      </x:c>
      <x:c r="M5" s="70">
        <x:f>COUNTIF(Tickets!$P$2:$P$251,"Yes")/COUNTIF(Tickets!$J$2:$J$251,"Resolved")</x:f>
        <x:v>0.8380952380952381</x:v>
      </x:c>
      <x:c r="N5" s="48" t="n"/>
      <x:c r="O5" s="49" t="n"/>
      <x:c r="P5" s="73">
        <x:f>AVERAGEIF(Tickets!$R$2:$R$251,"&gt;0")</x:f>
        <x:v>4.414285714285715</x:v>
      </x:c>
      <x:c r="Q5" s="49" t="n"/>
    </x:row>
    <x:row r="6">
      <x:c r="A6" s="54" t="n"/>
      <x:c r="B6" s="55" t="n"/>
      <x:c r="C6" s="56" t="n"/>
      <x:c r="D6" s="16" t="n"/>
      <x:c r="E6" s="54" t="n"/>
      <x:c r="F6" s="55" t="n"/>
      <x:c r="G6" s="56" t="n"/>
      <x:c r="H6" s="16" t="n"/>
      <x:c r="I6" s="54" t="n"/>
      <x:c r="J6" s="55" t="n"/>
      <x:c r="K6" s="56" t="n"/>
      <x:c r="L6" s="80" t="n"/>
      <x:c r="M6" s="54" t="n"/>
      <x:c r="N6" s="55" t="n"/>
      <x:c r="O6" s="56" t="n"/>
      <x:c r="P6" s="54" t="n"/>
      <x:c r="Q6" s="56" t="n"/>
    </x:row>
    <x:row r="9">
      <x:c r="A9" s="74" t="inlineStr">
        <x:is>
          <x:t xml:space="preserve">Tickets by Issue Type</x:t>
        </x:is>
      </x:c>
      <x:c r="B9" s="46" t="n"/>
      <x:c r="C9" s="47" t="n"/>
      <x:c r="E9" s="74" t="inlineStr">
        <x:is>
          <x:t xml:space="preserve">Tickets by Priority</x:t>
        </x:is>
      </x:c>
      <x:c r="F9" s="46" t="n"/>
      <x:c r="G9" s="47" t="n"/>
    </x:row>
    <x:row r="10">
      <x:c r="A10" s="75" t="inlineStr">
        <x:is>
          <x:t xml:space="preserve">Issue Type</x:t>
        </x:is>
      </x:c>
      <x:c r="B10" s="75" t="inlineStr">
        <x:is>
          <x:t xml:space="preserve">Count</x:t>
        </x:is>
      </x:c>
      <x:c r="C10" s="75" t="inlineStr">
        <x:is>
          <x:t xml:space="preserve">Share</x:t>
        </x:is>
      </x:c>
      <x:c r="E10" s="75" t="inlineStr">
        <x:is>
          <x:t xml:space="preserve">Priority</x:t>
        </x:is>
      </x:c>
      <x:c r="F10" s="75" t="inlineStr">
        <x:is>
          <x:t xml:space="preserve">Count</x:t>
        </x:is>
      </x:c>
      <x:c r="G10" s="75" t="inlineStr">
        <x:is>
          <x:t xml:space="preserve">Share</x:t>
        </x:is>
      </x:c>
    </x:row>
    <x:row r="11">
      <x:c r="A11" s="76" t="inlineStr">
        <x:is>
          <x:t xml:space="preserve">Login &amp; Access</x:t>
        </x:is>
      </x:c>
      <x:c r="B11" s="77">
        <x:f>COUNTIF(Tickets!$G$2:$G$251,A11)</x:f>
        <x:v>57</x:v>
      </x:c>
      <x:c r="C11" s="78">
        <x:f>B11/$A$5</x:f>
        <x:v>0.228</x:v>
      </x:c>
      <x:c r="E11" s="76" t="inlineStr">
        <x:is>
          <x:t xml:space="preserve">Critical</x:t>
        </x:is>
      </x:c>
      <x:c r="F11" s="77">
        <x:f>COUNTIF(Tickets!$I$2:$I$251,E11)</x:f>
        <x:v>15</x:v>
      </x:c>
      <x:c r="G11" s="78">
        <x:f>F11/$A$5</x:f>
        <x:v>0.06</x:v>
      </x:c>
    </x:row>
    <x:row r="12">
      <x:c r="A12" s="76" t="inlineStr">
        <x:is>
          <x:t xml:space="preserve">Email &amp; Outlook</x:t>
        </x:is>
      </x:c>
      <x:c r="B12" s="77">
        <x:f>COUNTIF(Tickets!$G$2:$G$251,A12)</x:f>
        <x:v>46</x:v>
      </x:c>
      <x:c r="C12" s="78">
        <x:f>B12/$A$5</x:f>
        <x:v>0.184</x:v>
      </x:c>
      <x:c r="E12" s="76" t="inlineStr">
        <x:is>
          <x:t xml:space="preserve">High</x:t>
        </x:is>
      </x:c>
      <x:c r="F12" s="77">
        <x:f>COUNTIF(Tickets!$I$2:$I$251,E12)</x:f>
        <x:v>65</x:v>
      </x:c>
      <x:c r="G12" s="78">
        <x:f>F12/$A$5</x:f>
        <x:v>0.26</x:v>
      </x:c>
    </x:row>
    <x:row r="13">
      <x:c r="A13" s="76" t="inlineStr">
        <x:is>
          <x:t xml:space="preserve">Network &amp; VPN</x:t>
        </x:is>
      </x:c>
      <x:c r="B13" s="77">
        <x:f>COUNTIF(Tickets!$G$2:$G$251,A13)</x:f>
        <x:v>37</x:v>
      </x:c>
      <x:c r="C13" s="78">
        <x:f>B13/$A$5</x:f>
        <x:v>0.148</x:v>
      </x:c>
      <x:c r="E13" s="76" t="inlineStr">
        <x:is>
          <x:t xml:space="preserve">Medium</x:t>
        </x:is>
      </x:c>
      <x:c r="F13" s="77">
        <x:f>COUNTIF(Tickets!$I$2:$I$251,E13)</x:f>
        <x:v>70</x:v>
      </x:c>
      <x:c r="G13" s="78">
        <x:f>F13/$A$5</x:f>
        <x:v>0.28</x:v>
      </x:c>
    </x:row>
    <x:row r="14">
      <x:c r="A14" s="76" t="inlineStr">
        <x:is>
          <x:t xml:space="preserve">Software &amp; Application</x:t>
        </x:is>
      </x:c>
      <x:c r="B14" s="77">
        <x:f>COUNTIF(Tickets!$G$2:$G$251,A14)</x:f>
        <x:v>44</x:v>
      </x:c>
      <x:c r="C14" s="78">
        <x:f>B14/$A$5</x:f>
        <x:v>0.176</x:v>
      </x:c>
      <x:c r="E14" s="76" t="inlineStr">
        <x:is>
          <x:t xml:space="preserve">Low</x:t>
        </x:is>
      </x:c>
      <x:c r="F14" s="77">
        <x:f>COUNTIF(Tickets!$I$2:$I$251,E14)</x:f>
        <x:v>100</x:v>
      </x:c>
      <x:c r="G14" s="78">
        <x:f>F14/$A$5</x:f>
        <x:v>0.4</x:v>
      </x:c>
    </x:row>
    <x:row r="15">
      <x:c r="A15" s="76" t="inlineStr">
        <x:is>
          <x:t xml:space="preserve">Hardware</x:t>
        </x:is>
      </x:c>
      <x:c r="B15" s="77">
        <x:f>COUNTIF(Tickets!$G$2:$G$251,A15)</x:f>
        <x:v>29</x:v>
      </x:c>
      <x:c r="C15" s="78">
        <x:f>B15/$A$5</x:f>
        <x:v>0.116</x:v>
      </x:c>
    </x:row>
    <x:row r="16">
      <x:c r="A16" s="76" t="inlineStr">
        <x:is>
          <x:t xml:space="preserve">Password Reset</x:t>
        </x:is>
      </x:c>
      <x:c r="B16" s="77">
        <x:f>COUNTIF(Tickets!$G$2:$G$251,A16)</x:f>
        <x:v>21</x:v>
      </x:c>
      <x:c r="C16" s="78">
        <x:f>B16/$A$5</x:f>
        <x:v>0.084</x:v>
      </x:c>
    </x:row>
    <x:row r="17">
      <x:c r="A17" s="76" t="inlineStr">
        <x:is>
          <x:t xml:space="preserve">Printer &amp; Peripheral</x:t>
        </x:is>
      </x:c>
      <x:c r="B17" s="77">
        <x:f>COUNTIF(Tickets!$G$2:$G$251,A17)</x:f>
        <x:v>16</x:v>
      </x:c>
      <x:c r="C17" s="78">
        <x:f>B17/$A$5</x:f>
        <x:v>0.064</x:v>
      </x:c>
    </x:row>
    <x:row r="20">
      <x:c r="A20" s="74" t="inlineStr">
        <x:is>
          <x:t xml:space="preserve">Tickets by Region</x:t>
        </x:is>
      </x:c>
      <x:c r="B20" s="46" t="n"/>
      <x:c r="C20" s="47" t="n"/>
      <x:c r="E20" s="74" t="inlineStr">
        <x:is>
          <x:t xml:space="preserve">Status Mix</x:t>
        </x:is>
      </x:c>
      <x:c r="F20" s="46" t="n"/>
      <x:c r="G20" s="47" t="n"/>
      <x:c r="M20" s="74" t="inlineStr">
        <x:is>
          <x:t xml:space="preserve">Daily Ticket Trend</x:t>
        </x:is>
      </x:c>
      <x:c r="N20" s="46" t="n"/>
      <x:c r="O20" s="47" t="n"/>
    </x:row>
    <x:row r="21">
      <x:c r="A21" s="75" t="inlineStr">
        <x:is>
          <x:t xml:space="preserve">Region</x:t>
        </x:is>
      </x:c>
      <x:c r="B21" s="75" t="inlineStr">
        <x:is>
          <x:t xml:space="preserve">Count</x:t>
        </x:is>
      </x:c>
      <x:c r="C21" s="75" t="inlineStr">
        <x:is>
          <x:t xml:space="preserve">Share</x:t>
        </x:is>
      </x:c>
      <x:c r="E21" s="75" t="inlineStr">
        <x:is>
          <x:t xml:space="preserve">Status</x:t>
        </x:is>
      </x:c>
      <x:c r="F21" s="75" t="inlineStr">
        <x:is>
          <x:t xml:space="preserve">Count</x:t>
        </x:is>
      </x:c>
      <x:c r="G21" s="75" t="inlineStr">
        <x:is>
          <x:t xml:space="preserve">Share</x:t>
        </x:is>
      </x:c>
      <x:c r="M21" s="75" t="inlineStr">
        <x:is>
          <x:t xml:space="preserve">Date</x:t>
        </x:is>
      </x:c>
      <x:c r="N21" s="75" t="inlineStr">
        <x:is>
          <x:t xml:space="preserve">Opened</x:t>
        </x:is>
      </x:c>
      <x:c r="O21" s="75" t="inlineStr">
        <x:is>
          <x:t xml:space="preserve">Resolved</x:t>
        </x:is>
      </x:c>
    </x:row>
    <x:row r="22">
      <x:c r="A22" s="76" t="inlineStr">
        <x:is>
          <x:t xml:space="preserve">India</x:t>
        </x:is>
      </x:c>
      <x:c r="B22" s="77">
        <x:f>COUNTIF(Tickets!$C$2:$C$251,A22)</x:f>
        <x:v>83</x:v>
      </x:c>
      <x:c r="C22" s="78">
        <x:f>B22/$A$5</x:f>
        <x:v>0.332</x:v>
      </x:c>
      <x:c r="E22" s="76" t="inlineStr">
        <x:is>
          <x:t xml:space="preserve">Resolved</x:t>
        </x:is>
      </x:c>
      <x:c r="F22" s="77">
        <x:f>COUNTIF(Tickets!$J$2:$J$251,E22)</x:f>
        <x:v>210</x:v>
      </x:c>
      <x:c r="G22" s="78">
        <x:f>F22/$A$5</x:f>
        <x:v>0.84</x:v>
      </x:c>
      <x:c r="M22" s="79" t="n">
        <x:v>46082</x:v>
      </x:c>
      <x:c r="N22" s="77">
        <x:f>COUNTIFS(Tickets!$B$2:$B$251,"&gt;="&amp;M22,Tickets!$B$2:$B$251,"&lt;"&amp;M22+1)</x:f>
        <x:v>5</x:v>
      </x:c>
      <x:c r="O22" s="77">
        <x:f>COUNTIFS(Tickets!$B$2:$B$251,"&gt;="&amp;M22,Tickets!$B$2:$B$251,"&lt;"&amp;M22+1,Tickets!$J$2:$J$251,"Resolved")</x:f>
        <x:v>4</x:v>
      </x:c>
    </x:row>
    <x:row r="23">
      <x:c r="A23" s="76" t="inlineStr">
        <x:is>
          <x:t xml:space="preserve">US</x:t>
        </x:is>
      </x:c>
      <x:c r="B23" s="77">
        <x:f>COUNTIF(Tickets!$C$2:$C$251,A23)</x:f>
        <x:v>70</x:v>
      </x:c>
      <x:c r="C23" s="78">
        <x:f>B23/$A$5</x:f>
        <x:v>0.28</x:v>
      </x:c>
      <x:c r="E23" s="76" t="inlineStr">
        <x:is>
          <x:t xml:space="preserve">In Progress</x:t>
        </x:is>
      </x:c>
      <x:c r="F23" s="77">
        <x:f>COUNTIF(Tickets!$J$2:$J$251,E23)</x:f>
        <x:v>18</x:v>
      </x:c>
      <x:c r="G23" s="78">
        <x:f>F23/$A$5</x:f>
        <x:v>0.072</x:v>
      </x:c>
      <x:c r="M23" s="79" t="n">
        <x:v>46083</x:v>
      </x:c>
      <x:c r="N23" s="77">
        <x:f>COUNTIFS(Tickets!$B$2:$B$251,"&gt;="&amp;M23,Tickets!$B$2:$B$251,"&lt;"&amp;M23+1)</x:f>
        <x:v>8</x:v>
      </x:c>
      <x:c r="O23" s="77">
        <x:f>COUNTIFS(Tickets!$B$2:$B$251,"&gt;="&amp;M23,Tickets!$B$2:$B$251,"&lt;"&amp;M23+1,Tickets!$J$2:$J$251,"Resolved")</x:f>
        <x:v>8</x:v>
      </x:c>
    </x:row>
    <x:row r="24">
      <x:c r="A24" s="76" t="inlineStr">
        <x:is>
          <x:t xml:space="preserve">UK</x:t>
        </x:is>
      </x:c>
      <x:c r="B24" s="77">
        <x:f>COUNTIF(Tickets!$C$2:$C$251,A24)</x:f>
        <x:v>50</x:v>
      </x:c>
      <x:c r="C24" s="78">
        <x:f>B24/$A$5</x:f>
        <x:v>0.2</x:v>
      </x:c>
      <x:c r="E24" s="76" t="inlineStr">
        <x:is>
          <x:t xml:space="preserve">Pending User</x:t>
        </x:is>
      </x:c>
      <x:c r="F24" s="77">
        <x:f>COUNTIF(Tickets!$J$2:$J$251,E24)</x:f>
        <x:v>11</x:v>
      </x:c>
      <x:c r="G24" s="78">
        <x:f>F24/$A$5</x:f>
        <x:v>0.044</x:v>
      </x:c>
      <x:c r="M24" s="79" t="n">
        <x:v>46084</x:v>
      </x:c>
      <x:c r="N24" s="77">
        <x:f>COUNTIFS(Tickets!$B$2:$B$251,"&gt;="&amp;M24,Tickets!$B$2:$B$251,"&lt;"&amp;M24+1)</x:f>
        <x:v>12</x:v>
      </x:c>
      <x:c r="O24" s="77">
        <x:f>COUNTIFS(Tickets!$B$2:$B$251,"&gt;="&amp;M24,Tickets!$B$2:$B$251,"&lt;"&amp;M24+1,Tickets!$J$2:$J$251,"Resolved")</x:f>
        <x:v>11</x:v>
      </x:c>
    </x:row>
    <x:row r="25">
      <x:c r="A25" s="76" t="inlineStr">
        <x:is>
          <x:t xml:space="preserve">APAC</x:t>
        </x:is>
      </x:c>
      <x:c r="B25" s="77">
        <x:f>COUNTIF(Tickets!$C$2:$C$251,A25)</x:f>
        <x:v>47</x:v>
      </x:c>
      <x:c r="C25" s="78">
        <x:f>B25/$A$5</x:f>
        <x:v>0.188</x:v>
      </x:c>
      <x:c r="E25" s="76" t="inlineStr">
        <x:is>
          <x:t xml:space="preserve">Open</x:t>
        </x:is>
      </x:c>
      <x:c r="F25" s="77">
        <x:f>COUNTIF(Tickets!$J$2:$J$251,E25)</x:f>
        <x:v>11</x:v>
      </x:c>
      <x:c r="G25" s="78">
        <x:f>F25/$A$5</x:f>
        <x:v>0.044</x:v>
      </x:c>
      <x:c r="M25" s="79" t="n">
        <x:v>46085</x:v>
      </x:c>
      <x:c r="N25" s="77">
        <x:f>COUNTIFS(Tickets!$B$2:$B$251,"&gt;="&amp;M25,Tickets!$B$2:$B$251,"&lt;"&amp;M25+1)</x:f>
        <x:v>5</x:v>
      </x:c>
      <x:c r="O25" s="77">
        <x:f>COUNTIFS(Tickets!$B$2:$B$251,"&gt;="&amp;M25,Tickets!$B$2:$B$251,"&lt;"&amp;M25+1,Tickets!$J$2:$J$251,"Resolved")</x:f>
        <x:v>4</x:v>
      </x:c>
    </x:row>
    <x:row r="26">
      <x:c r="M26" s="79" t="n">
        <x:v>46086</x:v>
      </x:c>
      <x:c r="N26" s="77">
        <x:f>COUNTIFS(Tickets!$B$2:$B$251,"&gt;="&amp;M26,Tickets!$B$2:$B$251,"&lt;"&amp;M26+1)</x:f>
        <x:v>10</x:v>
      </x:c>
      <x:c r="O26" s="77">
        <x:f>COUNTIFS(Tickets!$B$2:$B$251,"&gt;="&amp;M26,Tickets!$B$2:$B$251,"&lt;"&amp;M26+1,Tickets!$J$2:$J$251,"Resolved")</x:f>
        <x:v>7</x:v>
      </x:c>
    </x:row>
    <x:row r="27">
      <x:c r="M27" s="79" t="n">
        <x:v>46087</x:v>
      </x:c>
      <x:c r="N27" s="77">
        <x:f>COUNTIFS(Tickets!$B$2:$B$251,"&gt;="&amp;M27,Tickets!$B$2:$B$251,"&lt;"&amp;M27+1)</x:f>
        <x:v>8</x:v>
      </x:c>
      <x:c r="O27" s="77">
        <x:f>COUNTIFS(Tickets!$B$2:$B$251,"&gt;="&amp;M27,Tickets!$B$2:$B$251,"&lt;"&amp;M27+1,Tickets!$J$2:$J$251,"Resolved")</x:f>
        <x:v>8</x:v>
      </x:c>
    </x:row>
    <x:row r="28">
      <x:c r="A28" s="33" t="inlineStr">
        <x:is>
          <x:t xml:space="preserve">How to explain this project:
• Simulated 250 IT helpdesk tickets across global regions.
• Tracked SLA, escalation, first response, resolution time, and CSAT.
• Built recruiter-friendly KPI dashboard with issue, priority, region, and trend views.
• Used Excel formulas, lookup logic, conditional formatting, and charts.</x:t>
        </x:is>
      </x:c>
      <x:c r="B28" s="48" t="n"/>
      <x:c r="C28" s="48" t="n"/>
      <x:c r="D28" s="48" t="n"/>
      <x:c r="E28" s="48" t="n"/>
      <x:c r="F28" s="48" t="n"/>
      <x:c r="G28" s="49" t="n"/>
      <x:c r="M28" s="79" t="n">
        <x:v>46088</x:v>
      </x:c>
      <x:c r="N28" s="77">
        <x:f>COUNTIFS(Tickets!$B$2:$B$251,"&gt;="&amp;M28,Tickets!$B$2:$B$251,"&lt;"&amp;M28+1)</x:f>
        <x:v>12</x:v>
      </x:c>
      <x:c r="O28" s="77">
        <x:f>COUNTIFS(Tickets!$B$2:$B$251,"&gt;="&amp;M28,Tickets!$B$2:$B$251,"&lt;"&amp;M28+1,Tickets!$J$2:$J$251,"Resolved")</x:f>
        <x:v>11</x:v>
      </x:c>
    </x:row>
    <x:row r="29">
      <x:c r="A29" s="61" t="n"/>
      <x:c r="G29" s="62" t="n"/>
      <x:c r="M29" s="79" t="n">
        <x:v>46089</x:v>
      </x:c>
      <x:c r="N29" s="77">
        <x:f>COUNTIFS(Tickets!$B$2:$B$251,"&gt;="&amp;M29,Tickets!$B$2:$B$251,"&lt;"&amp;M29+1)</x:f>
        <x:v>3</x:v>
      </x:c>
      <x:c r="O29" s="77">
        <x:f>COUNTIFS(Tickets!$B$2:$B$251,"&gt;="&amp;M29,Tickets!$B$2:$B$251,"&lt;"&amp;M29+1,Tickets!$J$2:$J$251,"Resolved")</x:f>
        <x:v>3</x:v>
      </x:c>
    </x:row>
    <x:row r="30">
      <x:c r="A30" s="61" t="n"/>
      <x:c r="G30" s="62" t="n"/>
      <x:c r="M30" s="79" t="n">
        <x:v>46090</x:v>
      </x:c>
      <x:c r="N30" s="77">
        <x:f>COUNTIFS(Tickets!$B$2:$B$251,"&gt;="&amp;M30,Tickets!$B$2:$B$251,"&lt;"&amp;M30+1)</x:f>
        <x:v>11</x:v>
      </x:c>
      <x:c r="O30" s="77">
        <x:f>COUNTIFS(Tickets!$B$2:$B$251,"&gt;="&amp;M30,Tickets!$B$2:$B$251,"&lt;"&amp;M30+1,Tickets!$J$2:$J$251,"Resolved")</x:f>
        <x:v>8</x:v>
      </x:c>
    </x:row>
    <x:row r="31">
      <x:c r="A31" s="61" t="n"/>
      <x:c r="G31" s="62" t="n"/>
      <x:c r="M31" s="79" t="n">
        <x:v>46091</x:v>
      </x:c>
      <x:c r="N31" s="77">
        <x:f>COUNTIFS(Tickets!$B$2:$B$251,"&gt;="&amp;M31,Tickets!$B$2:$B$251,"&lt;"&amp;M31+1)</x:f>
        <x:v>11</x:v>
      </x:c>
      <x:c r="O31" s="77">
        <x:f>COUNTIFS(Tickets!$B$2:$B$251,"&gt;="&amp;M31,Tickets!$B$2:$B$251,"&lt;"&amp;M31+1,Tickets!$J$2:$J$251,"Resolved")</x:f>
        <x:v>8</x:v>
      </x:c>
    </x:row>
    <x:row r="32">
      <x:c r="A32" s="61" t="n"/>
      <x:c r="G32" s="62" t="n"/>
      <x:c r="M32" s="79" t="n">
        <x:v>46092</x:v>
      </x:c>
      <x:c r="N32" s="77">
        <x:f>COUNTIFS(Tickets!$B$2:$B$251,"&gt;="&amp;M32,Tickets!$B$2:$B$251,"&lt;"&amp;M32+1)</x:f>
        <x:v>7</x:v>
      </x:c>
      <x:c r="O32" s="77">
        <x:f>COUNTIFS(Tickets!$B$2:$B$251,"&gt;="&amp;M32,Tickets!$B$2:$B$251,"&lt;"&amp;M32+1,Tickets!$J$2:$J$251,"Resolved")</x:f>
        <x:v>7</x:v>
      </x:c>
    </x:row>
    <x:row r="33">
      <x:c r="A33" s="61" t="n"/>
      <x:c r="G33" s="62" t="n"/>
      <x:c r="M33" s="79" t="n">
        <x:v>46093</x:v>
      </x:c>
      <x:c r="N33" s="77">
        <x:f>COUNTIFS(Tickets!$B$2:$B$251,"&gt;="&amp;M33,Tickets!$B$2:$B$251,"&lt;"&amp;M33+1)</x:f>
        <x:v>7</x:v>
      </x:c>
      <x:c r="O33" s="77">
        <x:f>COUNTIFS(Tickets!$B$2:$B$251,"&gt;="&amp;M33,Tickets!$B$2:$B$251,"&lt;"&amp;M33+1,Tickets!$J$2:$J$251,"Resolved")</x:f>
        <x:v>5</x:v>
      </x:c>
    </x:row>
    <x:row r="34">
      <x:c r="A34" s="54" t="n"/>
      <x:c r="B34" s="55" t="n"/>
      <x:c r="C34" s="55" t="n"/>
      <x:c r="D34" s="55" t="n"/>
      <x:c r="E34" s="55" t="n"/>
      <x:c r="F34" s="55" t="n"/>
      <x:c r="G34" s="56" t="n"/>
      <x:c r="M34" s="79" t="n">
        <x:v>46094</x:v>
      </x:c>
      <x:c r="N34" s="77">
        <x:f>COUNTIFS(Tickets!$B$2:$B$251,"&gt;="&amp;M34,Tickets!$B$2:$B$251,"&lt;"&amp;M34+1)</x:f>
        <x:v>5</x:v>
      </x:c>
      <x:c r="O34" s="77">
        <x:f>COUNTIFS(Tickets!$B$2:$B$251,"&gt;="&amp;M34,Tickets!$B$2:$B$251,"&lt;"&amp;M34+1,Tickets!$J$2:$J$251,"Resolved")</x:f>
        <x:v>4</x:v>
      </x:c>
    </x:row>
    <x:row r="35">
      <x:c r="M35" s="79" t="n">
        <x:v>46095</x:v>
      </x:c>
      <x:c r="N35" s="77">
        <x:f>COUNTIFS(Tickets!$B$2:$B$251,"&gt;="&amp;M35,Tickets!$B$2:$B$251,"&lt;"&amp;M35+1)</x:f>
        <x:v>11</x:v>
      </x:c>
      <x:c r="O35" s="77">
        <x:f>COUNTIFS(Tickets!$B$2:$B$251,"&gt;="&amp;M35,Tickets!$B$2:$B$251,"&lt;"&amp;M35+1,Tickets!$J$2:$J$251,"Resolved")</x:f>
        <x:v>9</x:v>
      </x:c>
    </x:row>
    <x:row r="36">
      <x:c r="M36" s="79" t="n">
        <x:v>46096</x:v>
      </x:c>
      <x:c r="N36" s="77">
        <x:f>COUNTIFS(Tickets!$B$2:$B$251,"&gt;="&amp;M36,Tickets!$B$2:$B$251,"&lt;"&amp;M36+1)</x:f>
        <x:v>3</x:v>
      </x:c>
      <x:c r="O36" s="77">
        <x:f>COUNTIFS(Tickets!$B$2:$B$251,"&gt;="&amp;M36,Tickets!$B$2:$B$251,"&lt;"&amp;M36+1,Tickets!$J$2:$J$251,"Resolved")</x:f>
        <x:v>3</x:v>
      </x:c>
    </x:row>
    <x:row r="37">
      <x:c r="M37" s="79" t="n">
        <x:v>46097</x:v>
      </x:c>
      <x:c r="N37" s="77">
        <x:f>COUNTIFS(Tickets!$B$2:$B$251,"&gt;="&amp;M37,Tickets!$B$2:$B$251,"&lt;"&amp;M37+1)</x:f>
        <x:v>9</x:v>
      </x:c>
      <x:c r="O37" s="77">
        <x:f>COUNTIFS(Tickets!$B$2:$B$251,"&gt;="&amp;M37,Tickets!$B$2:$B$251,"&lt;"&amp;M37+1,Tickets!$J$2:$J$251,"Resolved")</x:f>
        <x:v>9</x:v>
      </x:c>
    </x:row>
    <x:row r="38">
      <x:c r="M38" s="79" t="n">
        <x:v>46098</x:v>
      </x:c>
      <x:c r="N38" s="77">
        <x:f>COUNTIFS(Tickets!$B$2:$B$251,"&gt;="&amp;M38,Tickets!$B$2:$B$251,"&lt;"&amp;M38+1)</x:f>
        <x:v>6</x:v>
      </x:c>
      <x:c r="O38" s="77">
        <x:f>COUNTIFS(Tickets!$B$2:$B$251,"&gt;="&amp;M38,Tickets!$B$2:$B$251,"&lt;"&amp;M38+1,Tickets!$J$2:$J$251,"Resolved")</x:f>
        <x:v>6</x:v>
      </x:c>
    </x:row>
    <x:row r="39">
      <x:c r="M39" s="79" t="n">
        <x:v>46099</x:v>
      </x:c>
      <x:c r="N39" s="77">
        <x:f>COUNTIFS(Tickets!$B$2:$B$251,"&gt;="&amp;M39,Tickets!$B$2:$B$251,"&lt;"&amp;M39+1)</x:f>
        <x:v>12</x:v>
      </x:c>
      <x:c r="O39" s="77">
        <x:f>COUNTIFS(Tickets!$B$2:$B$251,"&gt;="&amp;M39,Tickets!$B$2:$B$251,"&lt;"&amp;M39+1,Tickets!$J$2:$J$251,"Resolved")</x:f>
        <x:v>7</x:v>
      </x:c>
    </x:row>
    <x:row r="40">
      <x:c r="M40" s="79" t="n">
        <x:v>46100</x:v>
      </x:c>
      <x:c r="N40" s="77">
        <x:f>COUNTIFS(Tickets!$B$2:$B$251,"&gt;="&amp;M40,Tickets!$B$2:$B$251,"&lt;"&amp;M40+1)</x:f>
        <x:v>8</x:v>
      </x:c>
      <x:c r="O40" s="77">
        <x:f>COUNTIFS(Tickets!$B$2:$B$251,"&gt;="&amp;M40,Tickets!$B$2:$B$251,"&lt;"&amp;M40+1,Tickets!$J$2:$J$251,"Resolved")</x:f>
        <x:v>6</x:v>
      </x:c>
    </x:row>
    <x:row r="41">
      <x:c r="M41" s="79" t="n">
        <x:v>46101</x:v>
      </x:c>
      <x:c r="N41" s="77">
        <x:f>COUNTIFS(Tickets!$B$2:$B$251,"&gt;="&amp;M41,Tickets!$B$2:$B$251,"&lt;"&amp;M41+1)</x:f>
        <x:v>12</x:v>
      </x:c>
      <x:c r="O41" s="77">
        <x:f>COUNTIFS(Tickets!$B$2:$B$251,"&gt;="&amp;M41,Tickets!$B$2:$B$251,"&lt;"&amp;M41+1,Tickets!$J$2:$J$251,"Resolved")</x:f>
        <x:v>11</x:v>
      </x:c>
    </x:row>
    <x:row r="42">
      <x:c r="M42" s="79" t="n">
        <x:v>46102</x:v>
      </x:c>
      <x:c r="N42" s="77">
        <x:f>COUNTIFS(Tickets!$B$2:$B$251,"&gt;="&amp;M42,Tickets!$B$2:$B$251,"&lt;"&amp;M42+1)</x:f>
        <x:v>12</x:v>
      </x:c>
      <x:c r="O42" s="77">
        <x:f>COUNTIFS(Tickets!$B$2:$B$251,"&gt;="&amp;M42,Tickets!$B$2:$B$251,"&lt;"&amp;M42+1,Tickets!$J$2:$J$251,"Resolved")</x:f>
        <x:v>11</x:v>
      </x:c>
    </x:row>
    <x:row r="43">
      <x:c r="M43" s="79" t="n">
        <x:v>46103</x:v>
      </x:c>
      <x:c r="N43" s="77">
        <x:f>COUNTIFS(Tickets!$B$2:$B$251,"&gt;="&amp;M43,Tickets!$B$2:$B$251,"&lt;"&amp;M43+1)</x:f>
        <x:v>11</x:v>
      </x:c>
      <x:c r="O43" s="77">
        <x:f>COUNTIFS(Tickets!$B$2:$B$251,"&gt;="&amp;M43,Tickets!$B$2:$B$251,"&lt;"&amp;M43+1,Tickets!$J$2:$J$251,"Resolved")</x:f>
        <x:v>9</x:v>
      </x:c>
    </x:row>
    <x:row r="44">
      <x:c r="M44" s="79" t="n">
        <x:v>46104</x:v>
      </x:c>
      <x:c r="N44" s="77">
        <x:f>COUNTIFS(Tickets!$B$2:$B$251,"&gt;="&amp;M44,Tickets!$B$2:$B$251,"&lt;"&amp;M44+1)</x:f>
        <x:v>6</x:v>
      </x:c>
      <x:c r="O44" s="77">
        <x:f>COUNTIFS(Tickets!$B$2:$B$251,"&gt;="&amp;M44,Tickets!$B$2:$B$251,"&lt;"&amp;M44+1,Tickets!$J$2:$J$251,"Resolved")</x:f>
        <x:v>6</x:v>
      </x:c>
    </x:row>
    <x:row r="45">
      <x:c r="M45" s="79" t="n">
        <x:v>46105</x:v>
      </x:c>
      <x:c r="N45" s="77">
        <x:f>COUNTIFS(Tickets!$B$2:$B$251,"&gt;="&amp;M45,Tickets!$B$2:$B$251,"&lt;"&amp;M45+1)</x:f>
        <x:v>7</x:v>
      </x:c>
      <x:c r="O45" s="77">
        <x:f>COUNTIFS(Tickets!$B$2:$B$251,"&gt;="&amp;M45,Tickets!$B$2:$B$251,"&lt;"&amp;M45+1,Tickets!$J$2:$J$251,"Resolved")</x:f>
        <x:v>5</x:v>
      </x:c>
    </x:row>
    <x:row r="46">
      <x:c r="M46" s="79" t="n">
        <x:v>46106</x:v>
      </x:c>
      <x:c r="N46" s="77">
        <x:f>COUNTIFS(Tickets!$B$2:$B$251,"&gt;="&amp;M46,Tickets!$B$2:$B$251,"&lt;"&amp;M46+1)</x:f>
        <x:v>6</x:v>
      </x:c>
      <x:c r="O46" s="77">
        <x:f>COUNTIFS(Tickets!$B$2:$B$251,"&gt;="&amp;M46,Tickets!$B$2:$B$251,"&lt;"&amp;M46+1,Tickets!$J$2:$J$251,"Resolved")</x:f>
        <x:v>6</x:v>
      </x:c>
    </x:row>
    <x:row r="47">
      <x:c r="M47" s="79" t="n">
        <x:v>46107</x:v>
      </x:c>
      <x:c r="N47" s="77">
        <x:f>COUNTIFS(Tickets!$B$2:$B$251,"&gt;="&amp;M47,Tickets!$B$2:$B$251,"&lt;"&amp;M47+1)</x:f>
        <x:v>9</x:v>
      </x:c>
      <x:c r="O47" s="77">
        <x:f>COUNTIFS(Tickets!$B$2:$B$251,"&gt;="&amp;M47,Tickets!$B$2:$B$251,"&lt;"&amp;M47+1,Tickets!$J$2:$J$251,"Resolved")</x:f>
        <x:v>9</x:v>
      </x:c>
    </x:row>
    <x:row r="48">
      <x:c r="M48" s="79" t="n">
        <x:v>46108</x:v>
      </x:c>
      <x:c r="N48" s="77">
        <x:f>COUNTIFS(Tickets!$B$2:$B$251,"&gt;="&amp;M48,Tickets!$B$2:$B$251,"&lt;"&amp;M48+1)</x:f>
        <x:v>8</x:v>
      </x:c>
      <x:c r="O48" s="77">
        <x:f>COUNTIFS(Tickets!$B$2:$B$251,"&gt;="&amp;M48,Tickets!$B$2:$B$251,"&lt;"&amp;M48+1,Tickets!$J$2:$J$251,"Resolved")</x:f>
        <x:v>7</x:v>
      </x:c>
    </x:row>
    <x:row r="49">
      <x:c r="M49" s="79" t="n">
        <x:v>46109</x:v>
      </x:c>
      <x:c r="N49" s="77">
        <x:f>COUNTIFS(Tickets!$B$2:$B$251,"&gt;="&amp;M49,Tickets!$B$2:$B$251,"&lt;"&amp;M49+1)</x:f>
        <x:v>8</x:v>
      </x:c>
      <x:c r="O49" s="77">
        <x:f>COUNTIFS(Tickets!$B$2:$B$251,"&gt;="&amp;M49,Tickets!$B$2:$B$251,"&lt;"&amp;M49+1,Tickets!$J$2:$J$251,"Resolved")</x:f>
        <x:v>8</x:v>
      </x:c>
    </x:row>
    <x:row r="50">
      <x:c r="M50" s="79" t="n">
        <x:v>46110</x:v>
      </x:c>
      <x:c r="N50" s="77">
        <x:f>COUNTIFS(Tickets!$B$2:$B$251,"&gt;="&amp;M50,Tickets!$B$2:$B$251,"&lt;"&amp;M50+1)</x:f>
        <x:v>7</x:v>
      </x:c>
      <x:c r="O50" s="77">
        <x:f>COUNTIFS(Tickets!$B$2:$B$251,"&gt;="&amp;M50,Tickets!$B$2:$B$251,"&lt;"&amp;M50+1,Tickets!$J$2:$J$251,"Resolved")</x:f>
        <x:v>5</x:v>
      </x:c>
    </x:row>
    <x:row r="51">
      <x:c r="M51" s="79" t="n">
        <x:v>46111</x:v>
      </x:c>
      <x:c r="N51" s="77">
        <x:f>COUNTIFS(Tickets!$B$2:$B$251,"&gt;="&amp;M51,Tickets!$B$2:$B$251,"&lt;"&amp;M51+1)</x:f>
        <x:v>5</x:v>
      </x:c>
      <x:c r="O51" s="77">
        <x:f>COUNTIFS(Tickets!$B$2:$B$251,"&gt;="&amp;M51,Tickets!$B$2:$B$251,"&lt;"&amp;M51+1,Tickets!$J$2:$J$251,"Resolved")</x:f>
        <x:v>3</x:v>
      </x:c>
    </x:row>
    <x:row r="52">
      <x:c r="M52" s="79" t="n">
        <x:v>46112</x:v>
      </x:c>
      <x:c r="N52" s="77">
        <x:f>COUNTIFS(Tickets!$B$2:$B$251,"&gt;="&amp;M52,Tickets!$B$2:$B$251,"&lt;"&amp;M52+1)</x:f>
        <x:v>6</x:v>
      </x:c>
      <x:c r="O52" s="77">
        <x:f>COUNTIFS(Tickets!$B$2:$B$251,"&gt;="&amp;M52,Tickets!$B$2:$B$251,"&lt;"&amp;M52+1,Tickets!$J$2:$J$251,"Resolved")</x:f>
        <x:v>2</x:v>
      </x:c>
    </x:row>
  </x:sheetData>
  <x:mergeCells>
    <x:mergeCell ref="P4:Q4"/>
    <x:mergeCell ref="E9:G9"/>
    <x:mergeCell ref="A1:Q1"/>
    <x:mergeCell ref="L5:L6"/>
    <x:mergeCell ref="E5:G6"/>
    <x:mergeCell ref="M5:O6"/>
    <x:mergeCell ref="I4:K4"/>
    <x:mergeCell ref="A4:C4"/>
    <x:mergeCell ref="P5:Q6"/>
    <x:mergeCell ref="A20:C20"/>
    <x:mergeCell ref="M4:O4"/>
    <x:mergeCell ref="A2:Q2"/>
    <x:mergeCell ref="A9:C9"/>
    <x:mergeCell ref="A28:G34"/>
    <x:mergeCell ref="A5:C6"/>
    <x:mergeCell ref="L4:L4"/>
    <x:mergeCell ref="I5:K6"/>
    <x:mergeCell ref="E4:G4"/>
    <x:mergeCell ref="M20:O20"/>
    <x:mergeCell ref="E20:G20"/>
  </x:mergeCells>
  <x:pageMargins left="0.7" right="0.7" top="0.75" bottom="0.75" header="0.3" footer="0.3"/>
  <x:drawing xmlns:r="http://schemas.openxmlformats.org/officeDocument/2006/relationships" r:id="R0abdbf7b00ed42fa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8" customWidth="1"/>
    <x:col min="3" max="3" width="24" customWidth="1"/>
    <x:col min="4" max="4" width="32" customWidth="1"/>
    <x:col min="5" max="5" width="36" customWidth="1"/>
  </x:cols>
  <x:sheetData>
    <x:row r="1">
      <x:c r="A1" s="34" t="inlineStr">
        <x:is>
          <x:t xml:space="preserve">SLA &amp; Priority Rules</x:t>
        </x:is>
      </x:c>
    </x:row>
    <x:row r="3" ht="24" customHeight="1">
      <x:c r="A3" s="66" t="inlineStr">
        <x:is>
          <x:t xml:space="preserve">Priority</x:t>
        </x:is>
      </x:c>
      <x:c r="B3" s="66" t="inlineStr">
        <x:is>
          <x:t xml:space="preserve">SLA_Target_Hours</x:t>
        </x:is>
      </x:c>
      <x:c r="C3" s="66" t="inlineStr">
        <x:is>
          <x:t xml:space="preserve">Max_First_Response_Minutes</x:t>
        </x:is>
      </x:c>
      <x:c r="D3" s="66" t="inlineStr">
        <x:is>
          <x:t xml:space="preserve">Escalation_Guideline</x:t>
        </x:is>
      </x:c>
      <x:c r="E3" s="66" t="inlineStr">
        <x:is>
          <x:t xml:space="preserve">Business_Impact</x:t>
        </x:is>
      </x:c>
    </x:row>
    <x:row r="4" ht="34" customHeight="1">
      <x:c r="A4" s="77" t="inlineStr">
        <x:is>
          <x:t xml:space="preserve">Critical</x:t>
        </x:is>
      </x:c>
      <x:c r="B4" s="35" t="n">
        <x:v>4</x:v>
      </x:c>
      <x:c r="C4" s="35" t="n">
        <x:v>15</x:v>
      </x:c>
      <x:c r="D4" s="36" t="inlineStr">
        <x:is>
          <x:t xml:space="preserve">Escalate immediately if unresolved in 30 mins</x:t>
        </x:is>
      </x:c>
      <x:c r="E4" s="36" t="inlineStr">
        <x:is>
          <x:t xml:space="preserve">Firm-wide outage / severe business disruption</x:t>
        </x:is>
      </x:c>
    </x:row>
    <x:row r="5" ht="34" customHeight="1">
      <x:c r="A5" s="77" t="inlineStr">
        <x:is>
          <x:t xml:space="preserve">High</x:t>
        </x:is>
      </x:c>
      <x:c r="B5" s="35" t="n">
        <x:v>8</x:v>
      </x:c>
      <x:c r="C5" s="35" t="n">
        <x:v>30</x:v>
      </x:c>
      <x:c r="D5" s="36" t="inlineStr">
        <x:is>
          <x:t xml:space="preserve">Escalate if unresolved in 2 hrs</x:t>
        </x:is>
      </x:c>
      <x:c r="E5" s="36" t="inlineStr">
        <x:is>
          <x:t xml:space="preserve">Important business task blocked / multiple users impacted</x:t>
        </x:is>
      </x:c>
    </x:row>
    <x:row r="6" ht="34" customHeight="1">
      <x:c r="A6" s="77" t="inlineStr">
        <x:is>
          <x:t xml:space="preserve">Medium</x:t>
        </x:is>
      </x:c>
      <x:c r="B6" s="35" t="n">
        <x:v>16</x:v>
      </x:c>
      <x:c r="C6" s="35" t="n">
        <x:v>60</x:v>
      </x:c>
      <x:c r="D6" s="36" t="inlineStr">
        <x:is>
          <x:t xml:space="preserve">Escalate if unresolved in 6 hrs</x:t>
        </x:is>
      </x:c>
      <x:c r="E6" s="36" t="inlineStr">
        <x:is>
          <x:t xml:space="preserve">Single-user issue with no clear workaround</x:t>
        </x:is>
      </x:c>
    </x:row>
    <x:row r="7" ht="34" customHeight="1">
      <x:c r="A7" s="77" t="inlineStr">
        <x:is>
          <x:t xml:space="preserve">Low</x:t>
        </x:is>
      </x:c>
      <x:c r="B7" s="35" t="n">
        <x:v>24</x:v>
      </x:c>
      <x:c r="C7" s="35" t="n">
        <x:v>120</x:v>
      </x:c>
      <x:c r="D7" s="36" t="inlineStr">
        <x:is>
          <x:t xml:space="preserve">Escalate if unresolved in 1 business day</x:t>
        </x:is>
      </x:c>
      <x:c r="E7" s="36" t="inlineStr">
        <x:is>
          <x:t xml:space="preserve">Low-impact issue / service request</x:t>
        </x:is>
      </x:c>
    </x:row>
    <x:row r="10">
      <x:c r="A10" s="37" t="inlineStr">
        <x:is>
          <x:t xml:space="preserve">Issue Categories</x:t>
        </x:is>
      </x:c>
    </x:row>
    <x:row r="11" ht="24" customHeight="1">
      <x:c r="A11" s="66" t="inlineStr">
        <x:is>
          <x:t xml:space="preserve">Issue_Type</x:t>
        </x:is>
      </x:c>
      <x:c r="B11" s="66" t="inlineStr">
        <x:is>
          <x:t xml:space="preserve">Typical_Subcategories</x:t>
        </x:is>
      </x:c>
      <x:c r="C11" s="66" t="inlineStr">
        <x:is>
          <x:t xml:space="preserve">Usual_Priority</x:t>
        </x:is>
      </x:c>
      <x:c r="D11" s="66" t="inlineStr">
        <x:is>
          <x:t xml:space="preserve">Support_Action</x:t>
        </x:is>
      </x:c>
      <x:c r="E11" s="66" t="inlineStr">
        <x:is>
          <x:t xml:space="preserve">Notes</x:t>
        </x:is>
      </x:c>
    </x:row>
    <x:row r="12" ht="34" customHeight="1">
      <x:c r="A12" s="76" t="inlineStr">
        <x:is>
          <x:t xml:space="preserve">Login &amp; Access</x:t>
        </x:is>
      </x:c>
      <x:c r="B12" s="38" t="inlineStr">
        <x:is>
          <x:t xml:space="preserve">SSO failure, account locked, MFA issue</x:t>
        </x:is>
      </x:c>
      <x:c r="C12" s="35" t="inlineStr">
        <x:is>
          <x:t xml:space="preserve">High</x:t>
        </x:is>
      </x:c>
      <x:c r="D12" s="38" t="inlineStr">
        <x:is>
          <x:t xml:space="preserve">Validate credentials / unlock / reset</x:t>
        </x:is>
      </x:c>
      <x:c r="E12" s="38" t="inlineStr">
        <x:is>
          <x:t xml:space="preserve">High first-call resolution potential</x:t>
        </x:is>
      </x:c>
    </x:row>
    <x:row r="13" ht="34" customHeight="1">
      <x:c r="A13" s="76" t="inlineStr">
        <x:is>
          <x:t xml:space="preserve">Email &amp; Outlook</x:t>
        </x:is>
      </x:c>
      <x:c r="B13" s="38" t="inlineStr">
        <x:is>
          <x:t xml:space="preserve">Profile issue, mailbox sync, attachment failure</x:t>
        </x:is>
      </x:c>
      <x:c r="C13" s="35" t="inlineStr">
        <x:is>
          <x:t xml:space="preserve">Medium</x:t>
        </x:is>
      </x:c>
      <x:c r="D13" s="38" t="inlineStr">
        <x:is>
          <x:t xml:space="preserve">Repair profile / cache / connectivity check</x:t>
        </x:is>
      </x:c>
      <x:c r="E13" s="38" t="inlineStr">
        <x:is>
          <x:t xml:space="preserve">Common recurring issue</x:t>
        </x:is>
      </x:c>
    </x:row>
    <x:row r="14" ht="34" customHeight="1">
      <x:c r="A14" s="76" t="inlineStr">
        <x:is>
          <x:t xml:space="preserve">Network &amp; VPN</x:t>
        </x:is>
      </x:c>
      <x:c r="B14" s="38" t="inlineStr">
        <x:is>
          <x:t xml:space="preserve">VPN timeout, Wi-Fi, DNS, remote access</x:t>
        </x:is>
      </x:c>
      <x:c r="C14" s="35" t="inlineStr">
        <x:is>
          <x:t xml:space="preserve">High</x:t>
        </x:is>
      </x:c>
      <x:c r="D14" s="38" t="inlineStr">
        <x:is>
          <x:t xml:space="preserve">Connectivity isolation + VPN steps</x:t>
        </x:is>
      </x:c>
      <x:c r="E14" s="38" t="inlineStr">
        <x:is>
          <x:t xml:space="preserve">Escalate if wider outage</x:t>
        </x:is>
      </x:c>
    </x:row>
    <x:row r="15" ht="34" customHeight="1">
      <x:c r="A15" s="76" t="inlineStr">
        <x:is>
          <x:t xml:space="preserve">Software &amp; Application</x:t>
        </x:is>
      </x:c>
      <x:c r="B15" s="38" t="inlineStr">
        <x:is>
          <x:t xml:space="preserve">Install, crash, license, plugin error</x:t>
        </x:is>
      </x:c>
      <x:c r="C15" s="35" t="inlineStr">
        <x:is>
          <x:t xml:space="preserve">Medium</x:t>
        </x:is>
      </x:c>
      <x:c r="D15" s="38" t="inlineStr">
        <x:is>
          <x:t xml:space="preserve">Reinstall / repair / config validation</x:t>
        </x:is>
      </x:c>
      <x:c r="E15" s="38" t="inlineStr">
        <x:is>
          <x:t xml:space="preserve">Good SOP-based support case</x:t>
        </x:is>
      </x:c>
    </x:row>
    <x:row r="16" ht="34" customHeight="1">
      <x:c r="A16" s="76" t="inlineStr">
        <x:is>
          <x:t xml:space="preserve">Hardware</x:t>
        </x:is>
      </x:c>
      <x:c r="B16" s="38" t="inlineStr">
        <x:is>
          <x:t xml:space="preserve">Laptop slow, webcam, headset, docking issue</x:t>
        </x:is>
      </x:c>
      <x:c r="C16" s="35" t="inlineStr">
        <x:is>
          <x:t xml:space="preserve">Low</x:t>
        </x:is>
      </x:c>
      <x:c r="D16" s="38" t="inlineStr">
        <x:is>
          <x:t xml:space="preserve">Basic troubleshooting + swap/escalation</x:t>
        </x:is>
      </x:c>
      <x:c r="E16" s="38" t="inlineStr">
        <x:is>
          <x:t xml:space="preserve">Often needs physical support if damaged</x:t>
        </x:is>
      </x:c>
    </x:row>
    <x:row r="17" ht="34" customHeight="1">
      <x:c r="A17" s="76" t="inlineStr">
        <x:is>
          <x:t xml:space="preserve">Password Reset</x:t>
        </x:is>
      </x:c>
      <x:c r="B17" s="38" t="inlineStr">
        <x:is>
          <x:t xml:space="preserve">Expired password, unlock request</x:t>
        </x:is>
      </x:c>
      <x:c r="C17" s="35" t="inlineStr">
        <x:is>
          <x:t xml:space="preserve">Low</x:t>
        </x:is>
      </x:c>
      <x:c r="D17" s="38" t="inlineStr">
        <x:is>
          <x:t xml:space="preserve">Identity validation + reset</x:t>
        </x:is>
      </x:c>
      <x:c r="E17" s="38" t="inlineStr">
        <x:is>
          <x:t xml:space="preserve">Fastest average resolution</x:t>
        </x:is>
      </x:c>
    </x:row>
    <x:row r="18" ht="34" customHeight="1">
      <x:c r="A18" s="76" t="inlineStr">
        <x:is>
          <x:t xml:space="preserve">Printer &amp; Peripheral</x:t>
        </x:is>
      </x:c>
      <x:c r="B18" s="38" t="inlineStr">
        <x:is>
          <x:t xml:space="preserve">Printer mapping, scanner, USB device</x:t>
        </x:is>
      </x:c>
      <x:c r="C18" s="35" t="inlineStr">
        <x:is>
          <x:t xml:space="preserve">Low</x:t>
        </x:is>
      </x:c>
      <x:c r="D18" s="38" t="inlineStr">
        <x:is>
          <x:t xml:space="preserve">Reconnect / remap / driver check</x:t>
        </x:is>
      </x:c>
      <x:c r="E18" s="38" t="inlineStr">
        <x:is>
          <x:t xml:space="preserve">Good for documentation workflow</x:t>
        </x:is>
      </x:c>
    </x:row>
  </x:sheetData>
  <x:mergeCells>
    <x:mergeCell ref="A1:E1"/>
    <x:mergeCell ref="A10:E10"/>
  </x:mergeCells>
  <x:pageMargins left="0.7" right="0.7" top="0.75" bottom="0.75" header="0.3" footer="0.3"/>
</x:worksheet>
</file>